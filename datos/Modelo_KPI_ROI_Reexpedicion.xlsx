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1f0f50fab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a0a72ddde0604a65"/>
    <x:sheet xmlns:r="http://schemas.openxmlformats.org/officeDocument/2006/relationships" name="Supuestos" sheetId="2" r:id="R3f60f4b9f4be438d"/>
    <x:sheet xmlns:r="http://schemas.openxmlformats.org/officeDocument/2006/relationships" name="Base_Casos" sheetId="3" r:id="R08fcb82588f24c4e"/>
    <x:sheet xmlns:r="http://schemas.openxmlformats.org/officeDocument/2006/relationships" name="Comparacion" sheetId="4" r:id="R36a8342c65c74c1a"/>
    <x:sheet xmlns:r="http://schemas.openxmlformats.org/officeDocument/2006/relationships" name="ROI" sheetId="5" r:id="Rc203e5caea46426e"/>
    <x:sheet xmlns:r="http://schemas.openxmlformats.org/officeDocument/2006/relationships" name="FlujoMensual" sheetId="6" r:id="Rb51959b439e44a34"/>
    <x:sheet xmlns:r="http://schemas.openxmlformats.org/officeDocument/2006/relationships" name="Catalogo_KPIs" sheetId="7" r:id="R347ec54b43554025"/>
    <x:sheet xmlns:r="http://schemas.openxmlformats.org/officeDocument/2006/relationships" name="Priorizacion" sheetId="8" r:id="Rc0010b9e676f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–"/>
    <x:numFmt numFmtId="201" formatCode="#,##0;[Red](#,##0);–"/>
    <x:numFmt numFmtId="202" formatCode="#,##0.00;[Red](#,##0.00);–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3656"/>
      </x:patternFill>
    </x:fill>
    <x:fill>
      <x:patternFill patternType="solid">
        <x:fgColor rgb="FF137B84"/>
      </x:patternFill>
    </x:fill>
    <x:fill>
      <x:patternFill patternType="solid">
        <x:fgColor rgb="FFFFF6D8"/>
      </x:patternFill>
    </x:fill>
    <x:fill>
      <x:patternFill patternType="solid">
        <x:fgColor rgb="FFFFF1C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5500c666c4c88" /><Relationship Type="http://schemas.openxmlformats.org/officeDocument/2006/relationships/theme" Target="/xl/theme/theme1.xml" Id="R03552afe669b4446" /><Relationship Type="http://schemas.openxmlformats.org/officeDocument/2006/relationships/sharedStrings" Target="/xl/sharedStrings.xml" Id="R05f46d00ae864fcb" /><Relationship Type="http://schemas.openxmlformats.org/officeDocument/2006/relationships/worksheet" Target="/xl/worksheets/sheet1.xml" Id="Ra0a72ddde0604a65" /><Relationship Type="http://schemas.openxmlformats.org/officeDocument/2006/relationships/worksheet" Target="/xl/worksheets/sheet2.xml" Id="R3f60f4b9f4be438d" /><Relationship Type="http://schemas.openxmlformats.org/officeDocument/2006/relationships/worksheet" Target="/xl/worksheets/sheet3.xml" Id="R08fcb82588f24c4e" /><Relationship Type="http://schemas.openxmlformats.org/officeDocument/2006/relationships/worksheet" Target="/xl/worksheets/sheet4.xml" Id="R36a8342c65c74c1a" /><Relationship Type="http://schemas.openxmlformats.org/officeDocument/2006/relationships/worksheet" Target="/xl/worksheets/sheet5.xml" Id="Rc203e5caea46426e" /><Relationship Type="http://schemas.openxmlformats.org/officeDocument/2006/relationships/worksheet" Target="/xl/worksheets/sheet6.xml" Id="Rb51959b439e44a34" /><Relationship Type="http://schemas.openxmlformats.org/officeDocument/2006/relationships/worksheet" Target="/xl/worksheets/sheet7.xml" Id="R347ec54b43554025" /><Relationship Type="http://schemas.openxmlformats.org/officeDocument/2006/relationships/worksheet" Target="/xl/worksheets/sheet8.xml" Id="Rc0010b9e676f41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4e0bb16cd74f0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Flujo acumulado</c:v>
          </c:tx>
          <c:marker>
            <c:symbol val="none"/>
          </c:marker>
          <c:cat>
            <c:strRef>
              <c:f>'FlujoMensual'!$A$5:$A$16</c:f>
              <c:strCache>
                <c:ptCount val="0"/>
              </c:strCache>
            </c:strRef>
          </c:cat>
          <c:val>
            <c:numRef>
              <c:f>'FlujoMensual'!$H$5:$H$16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4e0bb16cd74f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90a7b2fc19742f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28" customHeight="1">
      <x:c r="A1" s="4" t="str">
        <x:v>LABORATORIO MBA | KPI, TO-BE Y ROI</x:v>
      </x:c>
      <x:c r="B1" s="4"/>
      <x:c r="C1" s="4"/>
      <x:c r="D1" s="4"/>
      <x:c r="E1" s="4"/>
      <x:c r="F1" s="4"/>
      <x:c r="G1" s="4"/>
      <x:c r="H1" s="4"/>
    </x:row>
    <x:row r="3">
      <x:c r="A3" s="8" t="str">
        <x:v>Objetivo</x:v>
      </x:c>
      <x:c r="B3" s="10" t="str">
        <x:v>Comparar un proceso AS-IS y un TO-BE simulado sin confundir capacidad con caja.</x:v>
      </x:c>
    </x:row>
    <x:row r="4">
      <x:c r="A4" s="8" t="str">
        <x:v>Estado de datos</x:v>
      </x:c>
      <x:c r="B4" s="10" t="str">
        <x:v>SINTÉTICO; ejemplo pedagógico, no cifras de la SDP.</x:v>
      </x:c>
    </x:row>
    <x:row r="5">
      <x:c r="A5" s="8" t="str">
        <x:v>Paso 1</x:v>
      </x:c>
      <x:c r="B5" s="10" t="str">
        <x:v>Abra Supuestos y cambie solo cifras editables en AZUL; note como cambian los resultados.</x:v>
      </x:c>
    </x:row>
    <x:row r="6">
      <x:c r="A6" s="8" t="str">
        <x:v>Paso 2</x:v>
      </x:c>
      <x:c r="B6" s="10" t="str">
        <x:v>Revise Base_Casos, que contiene una fila por caso y escenario.</x:v>
      </x:c>
    </x:row>
    <x:row r="7">
      <x:c r="A7" s="8" t="str">
        <x:v>Paso 3</x:v>
      </x:c>
      <x:c r="B7" s="10" t="str">
        <x:v>Abra Comparacion; observe las fórmulas para horas, errores y reprocesos.</x:v>
      </x:c>
    </x:row>
    <x:row r="8">
      <x:c r="A8" s="8" t="str">
        <x:v>Paso 4</x:v>
      </x:c>
      <x:c r="B8" s="10" t="str">
        <x:v>Abra ROI; revise numeradores, denominadores, inversión y mantenimiento.</x:v>
      </x:c>
    </x:row>
    <x:row r="9">
      <x:c r="A9" s="8" t="str">
        <x:v>Paso 5</x:v>
      </x:c>
      <x:c r="B9" s="10" t="str">
        <x:v>Abra FlujoMensual; una inversión inicial causa flujo negativo al principio.</x:v>
      </x:c>
    </x:row>
    <x:row r="10">
      <x:c r="A10" s="8" t="str">
        <x:v>Paso 6</x:v>
      </x:c>
      <x:c r="B10" s="10" t="str">
        <x:v>Importe los CSV de datos/preset en Preset y cree widgets según la guía.</x:v>
      </x:c>
    </x:row>
    <x:row r="11">
      <x:c r="A11" s="8" t="str">
        <x:v>Precaución</x:v>
      </x:c>
      <x:c r="B11" s="10" t="str">
        <x:v>Hora ahorrada = capacidad liberada; solo el porcentaje monetizable se incluye como caja.</x:v>
      </x:c>
    </x:row>
    <x:row r="12">
      <x:c r="A12" s="8" t="str">
        <x:v>Fuentes</x:v>
      </x:c>
      <x:c r="B12" s="10" t="str">
        <x:v>Material sesión 3, diapositivas 69–82; Preset docs https://docs.preset.io/docs/using-csv-files</x:v>
      </x:c>
    </x:row>
    <x:row r="13">
      <x:c r="A13" s="8" t="str">
        <x:v>Archivos</x:v>
      </x:c>
      <x:c r="B13" s="10" t="str">
        <x:v>docs/diccionario-kpis-y-ecuaciones.md; config/escenario_reexpedicion.json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2" hidden="0" customWidth="1"/>
    <x:col min="4" max="4" width="63" hidden="0" customWidth="1"/>
  </x:cols>
  <x:sheetData>
    <x:row r="1" ht="28" customHeight="1">
      <x:c r="A1" s="4" t="str">
        <x:v>SUPUESTOS EDITABLES — DEMOSTRACIÓN</x:v>
      </x:c>
      <x:c r="B1" s="4"/>
      <x:c r="C1" s="4"/>
      <x:c r="D1" s="4"/>
    </x:row>
    <x:row r="3" ht="24" customHeight="1">
      <x:c r="A3" s="13" t="str">
        <x:v>Variable</x:v>
      </x:c>
      <x:c r="B3" s="13" t="str">
        <x:v>Valor editable</x:v>
      </x:c>
      <x:c r="C3" s="13" t="str">
        <x:v>Unidad</x:v>
      </x:c>
      <x:c r="D3" s="24" t="str">
        <x:v>Fuente / estado</x:v>
      </x:c>
    </x:row>
    <x:row r="4">
      <x:c r="A4" s="8" t="str">
        <x:v>Volumen anual proyectado</x:v>
      </x:c>
      <x:c r="B4" s="18" t="n">
        <x:v>660</x:v>
      </x:c>
      <x:c r="C4" t="str">
        <x:v>casos/año</x:v>
      </x:c>
      <x:c r="D4" s="10" t="str">
        <x:v>Hipótesis docente, config JSON</x:v>
      </x:c>
    </x:row>
    <x:row r="5">
      <x:c r="A5" s="8" t="str">
        <x:v>Costo hora evitada</x:v>
      </x:c>
      <x:c r="B5" s="22" t="n">
        <x:v>60000</x:v>
      </x:c>
      <x:c r="C5" t="str">
        <x:v>COP/hora</x:v>
      </x:c>
      <x:c r="D5" s="10" t="str">
        <x:v>Hipótesis docente; verificar costeo real</x:v>
      </x:c>
    </x:row>
    <x:row r="6">
      <x:c r="A6" s="8" t="str">
        <x:v>Costo unitario de error</x:v>
      </x:c>
      <x:c r="B6" s="22" t="n">
        <x:v>70000</x:v>
      </x:c>
      <x:c r="C6" t="str">
        <x:v>COP/error</x:v>
      </x:c>
      <x:c r="D6" s="10" t="str">
        <x:v>Hipótesis docente; verificar incidencia y alcance</x:v>
      </x:c>
    </x:row>
    <x:row r="7">
      <x:c r="A7" s="8" t="str">
        <x:v>Inversión inicial</x:v>
      </x:c>
      <x:c r="B7" s="22" t="n">
        <x:v>25000000</x:v>
      </x:c>
      <x:c r="C7" t="str">
        <x:v>COP</x:v>
      </x:c>
      <x:c r="D7" s="10" t="str">
        <x:v>Hipótesis docente; incluir integración y formación</x:v>
      </x:c>
    </x:row>
    <x:row r="8">
      <x:c r="A8" s="8" t="str">
        <x:v>Mantenimiento mensual</x:v>
      </x:c>
      <x:c r="B8" s="22" t="n">
        <x:v>650000</x:v>
      </x:c>
      <x:c r="C8" t="str">
        <x:v>COP/mes</x:v>
      </x:c>
      <x:c r="D8" s="10" t="str">
        <x:v>Hipótesis docente; opex recurrente</x:v>
      </x:c>
    </x:row>
    <x:row r="9">
      <x:c r="A9" s="8" t="str">
        <x:v>Fracción de horas monetizables</x:v>
      </x:c>
      <x:c r="B9" s="20" t="n">
        <x:v>0.7</x:v>
      </x:c>
      <x:c r="C9" t="str">
        <x:v>proporción 0–1</x:v>
      </x:c>
      <x:c r="D9" s="10" t="str">
        <x:v>Hipótesis docente, no confundir ahorro de capacidad con caja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</x:cols>
  <x:sheetData>
    <x:row r="1" ht="28" customHeight="1">
      <x:c r="A1" s="4" t="str">
        <x:v>id_caso</x:v>
      </x:c>
      <x:c r="B1" s="4" t="str">
        <x:v>escenario</x:v>
      </x:c>
      <x:c r="C1" s="4" t="str">
        <x:v>mes</x:v>
      </x:c>
      <x:c r="D1" s="4" t="str">
        <x:v>horas_humanas</x:v>
      </x:c>
      <x:c r="E1" s="4" t="str">
        <x:v>horas_espera</x:v>
      </x:c>
      <x:c r="F1" s="4" t="str">
        <x:v>horas_ciclo</x:v>
      </x:c>
      <x:c r="G1" s="4" t="str">
        <x:v>error</x:v>
      </x:c>
      <x:c r="H1" s="4" t="str">
        <x:v>reproceso</x:v>
      </x:c>
      <x:c r="I1" s="4" t="str">
        <x:v>automatizado</x:v>
      </x:c>
      <x:c r="J1" s="4" t="str">
        <x:v>costo_laboral_cop</x:v>
      </x:c>
      <x:c r="K1" s="4" t="str">
        <x:v>costo_error_cop</x:v>
      </x:c>
      <x:c r="L1" s="4" t="str">
        <x:v>reexpedicion</x:v>
      </x:c>
      <x:c r="M1" s="4" t="str">
        <x:v>fuente_datos</x:v>
      </x:c>
    </x:row>
    <x:row r="2">
      <x:c r="A2" t="str">
        <x:v>CASO-0001-as_is</x:v>
      </x:c>
      <x:c r="B2" t="str">
        <x:v>AS-IS</x:v>
      </x:c>
      <x:c r="C2" t="str">
        <x:v>2026-07</x:v>
      </x:c>
      <x:c r="D2" s="26" t="n">
        <x:v>2.568</x:v>
      </x:c>
      <x:c r="E2" s="26" t="n">
        <x:v>32.55</x:v>
      </x:c>
      <x:c r="F2" s="26" t="n">
        <x:v>35.118</x:v>
      </x:c>
      <x:c r="G2" t="n">
        <x:v>0</x:v>
      </x:c>
      <x:c r="H2" t="n">
        <x:v>0</x:v>
      </x:c>
      <x:c r="I2" t="n">
        <x:v>0</x:v>
      </x:c>
      <x:c r="J2" s="28" t="n">
        <x:v>154080</x:v>
      </x:c>
      <x:c r="K2" s="28" t="n">
        <x:v>0</x:v>
      </x:c>
      <x:c r="L2" t="n">
        <x:v>0</x:v>
      </x:c>
      <x:c r="M2" t="str">
        <x:v>SINTETICO</x:v>
      </x:c>
    </x:row>
    <x:row r="3">
      <x:c r="A3" t="str">
        <x:v>CASO-0001-to_be</x:v>
      </x:c>
      <x:c r="B3" t="str">
        <x:v>TO-BE</x:v>
      </x:c>
      <x:c r="C3" t="str">
        <x:v>2026-07</x:v>
      </x:c>
      <x:c r="D3" s="26" t="n">
        <x:v>1.105</x:v>
      </x:c>
      <x:c r="E3" s="26" t="n">
        <x:v>14.805</x:v>
      </x:c>
      <x:c r="F3" s="26" t="n">
        <x:v>15.91</x:v>
      </x:c>
      <x:c r="G3" t="n">
        <x:v>0</x:v>
      </x:c>
      <x:c r="H3" t="n">
        <x:v>0</x:v>
      </x:c>
      <x:c r="I3" t="n">
        <x:v>1</x:v>
      </x:c>
      <x:c r="J3" s="28" t="n">
        <x:v>66300</x:v>
      </x:c>
      <x:c r="K3" s="28" t="n">
        <x:v>0</x:v>
      </x:c>
      <x:c r="L3" t="n">
        <x:v>0</x:v>
      </x:c>
      <x:c r="M3" t="str">
        <x:v>SINTETICO</x:v>
      </x:c>
    </x:row>
    <x:row r="4">
      <x:c r="A4" t="str">
        <x:v>CASO-0002-as_is</x:v>
      </x:c>
      <x:c r="B4" t="str">
        <x:v>AS-IS</x:v>
      </x:c>
      <x:c r="C4" t="str">
        <x:v>2026-07</x:v>
      </x:c>
      <x:c r="D4" s="26" t="n">
        <x:v>3.421</x:v>
      </x:c>
      <x:c r="E4" s="26" t="n">
        <x:v>52.934</x:v>
      </x:c>
      <x:c r="F4" s="26" t="n">
        <x:v>56.355</x:v>
      </x:c>
      <x:c r="G4" t="n">
        <x:v>0</x:v>
      </x:c>
      <x:c r="H4" t="n">
        <x:v>0</x:v>
      </x:c>
      <x:c r="I4" t="n">
        <x:v>0</x:v>
      </x:c>
      <x:c r="J4" s="28" t="n">
        <x:v>205260</x:v>
      </x:c>
      <x:c r="K4" s="28" t="n">
        <x:v>0</x:v>
      </x:c>
      <x:c r="L4" t="n">
        <x:v>1</x:v>
      </x:c>
      <x:c r="M4" t="str">
        <x:v>SINTETICO</x:v>
      </x:c>
    </x:row>
    <x:row r="5">
      <x:c r="A5" t="str">
        <x:v>CASO-0002-to_be</x:v>
      </x:c>
      <x:c r="B5" t="str">
        <x:v>TO-BE</x:v>
      </x:c>
      <x:c r="C5" t="str">
        <x:v>2026-07</x:v>
      </x:c>
      <x:c r="D5" s="26" t="n">
        <x:v>1.336</x:v>
      </x:c>
      <x:c r="E5" s="26" t="n">
        <x:v>19.692</x:v>
      </x:c>
      <x:c r="F5" s="26" t="n">
        <x:v>21.028</x:v>
      </x:c>
      <x:c r="G5" t="n">
        <x:v>0</x:v>
      </x:c>
      <x:c r="H5" t="n">
        <x:v>0</x:v>
      </x:c>
      <x:c r="I5" t="n">
        <x:v>1</x:v>
      </x:c>
      <x:c r="J5" s="28" t="n">
        <x:v>80160</x:v>
      </x:c>
      <x:c r="K5" s="28" t="n">
        <x:v>0</x:v>
      </x:c>
      <x:c r="L5" t="n">
        <x:v>1</x:v>
      </x:c>
      <x:c r="M5" t="str">
        <x:v>SINTETICO</x:v>
      </x:c>
    </x:row>
    <x:row r="6">
      <x:c r="A6" t="str">
        <x:v>CASO-0003-as_is</x:v>
      </x:c>
      <x:c r="B6" t="str">
        <x:v>AS-IS</x:v>
      </x:c>
      <x:c r="C6" t="str">
        <x:v>2026-07</x:v>
      </x:c>
      <x:c r="D6" s="26" t="n">
        <x:v>3.254</x:v>
      </x:c>
      <x:c r="E6" s="26" t="n">
        <x:v>33.612</x:v>
      </x:c>
      <x:c r="F6" s="26" t="n">
        <x:v>36.866</x:v>
      </x:c>
      <x:c r="G6" t="n">
        <x:v>1</x:v>
      </x:c>
      <x:c r="H6" t="n">
        <x:v>0</x:v>
      </x:c>
      <x:c r="I6" t="n">
        <x:v>0</x:v>
      </x:c>
      <x:c r="J6" s="28" t="n">
        <x:v>195240</x:v>
      </x:c>
      <x:c r="K6" s="28" t="n">
        <x:v>70000</x:v>
      </x:c>
      <x:c r="L6" t="n">
        <x:v>1</x:v>
      </x:c>
      <x:c r="M6" t="str">
        <x:v>SINTETICO</x:v>
      </x:c>
    </x:row>
    <x:row r="7">
      <x:c r="A7" t="str">
        <x:v>CASO-0003-to_be</x:v>
      </x:c>
      <x:c r="B7" t="str">
        <x:v>TO-BE</x:v>
      </x:c>
      <x:c r="C7" t="str">
        <x:v>2026-07</x:v>
      </x:c>
      <x:c r="D7" s="26" t="n">
        <x:v>1.03</x:v>
      </x:c>
      <x:c r="E7" s="26" t="n">
        <x:v>16.118</x:v>
      </x:c>
      <x:c r="F7" s="26" t="n">
        <x:v>17.148</x:v>
      </x:c>
      <x:c r="G7" t="n">
        <x:v>0</x:v>
      </x:c>
      <x:c r="H7" t="n">
        <x:v>0</x:v>
      </x:c>
      <x:c r="I7" t="n">
        <x:v>1</x:v>
      </x:c>
      <x:c r="J7" s="28" t="n">
        <x:v>61800</x:v>
      </x:c>
      <x:c r="K7" s="28" t="n">
        <x:v>0</x:v>
      </x:c>
      <x:c r="L7" t="n">
        <x:v>1</x:v>
      </x:c>
      <x:c r="M7" t="str">
        <x:v>SINTETICO</x:v>
      </x:c>
    </x:row>
    <x:row r="8">
      <x:c r="A8" t="str">
        <x:v>CASO-0004-as_is</x:v>
      </x:c>
      <x:c r="B8" t="str">
        <x:v>AS-IS</x:v>
      </x:c>
      <x:c r="C8" t="str">
        <x:v>2026-07</x:v>
      </x:c>
      <x:c r="D8" s="26" t="n">
        <x:v>2.226</x:v>
      </x:c>
      <x:c r="E8" s="26" t="n">
        <x:v>31.657</x:v>
      </x:c>
      <x:c r="F8" s="26" t="n">
        <x:v>33.883</x:v>
      </x:c>
      <x:c r="G8" t="n">
        <x:v>1</x:v>
      </x:c>
      <x:c r="H8" t="n">
        <x:v>0</x:v>
      </x:c>
      <x:c r="I8" t="n">
        <x:v>0</x:v>
      </x:c>
      <x:c r="J8" s="28" t="n">
        <x:v>133560</x:v>
      </x:c>
      <x:c r="K8" s="28" t="n">
        <x:v>70000</x:v>
      </x:c>
      <x:c r="L8" t="n">
        <x:v>0</x:v>
      </x:c>
      <x:c r="M8" t="str">
        <x:v>SINTETICO</x:v>
      </x:c>
    </x:row>
    <x:row r="9">
      <x:c r="A9" t="str">
        <x:v>CASO-0004-to_be</x:v>
      </x:c>
      <x:c r="B9" t="str">
        <x:v>TO-BE</x:v>
      </x:c>
      <x:c r="C9" t="str">
        <x:v>2026-07</x:v>
      </x:c>
      <x:c r="D9" s="26" t="n">
        <x:v>0.818</x:v>
      </x:c>
      <x:c r="E9" s="26" t="n">
        <x:v>12.935</x:v>
      </x:c>
      <x:c r="F9" s="26" t="n">
        <x:v>13.753</x:v>
      </x:c>
      <x:c r="G9" t="n">
        <x:v>0</x:v>
      </x:c>
      <x:c r="H9" t="n">
        <x:v>0</x:v>
      </x:c>
      <x:c r="I9" t="n">
        <x:v>1</x:v>
      </x:c>
      <x:c r="J9" s="28" t="n">
        <x:v>49080</x:v>
      </x:c>
      <x:c r="K9" s="28" t="n">
        <x:v>0</x:v>
      </x:c>
      <x:c r="L9" t="n">
        <x:v>0</x:v>
      </x:c>
      <x:c r="M9" t="str">
        <x:v>SINTETICO</x:v>
      </x:c>
    </x:row>
    <x:row r="10">
      <x:c r="A10" t="str">
        <x:v>CASO-0005-as_is</x:v>
      </x:c>
      <x:c r="B10" t="str">
        <x:v>AS-IS</x:v>
      </x:c>
      <x:c r="C10" t="str">
        <x:v>2026-07</x:v>
      </x:c>
      <x:c r="D10" s="26" t="n">
        <x:v>2.529</x:v>
      </x:c>
      <x:c r="E10" s="26" t="n">
        <x:v>31.1</x:v>
      </x:c>
      <x:c r="F10" s="26" t="n">
        <x:v>33.629</x:v>
      </x:c>
      <x:c r="G10" t="n">
        <x:v>0</x:v>
      </x:c>
      <x:c r="H10" t="n">
        <x:v>0</x:v>
      </x:c>
      <x:c r="I10" t="n">
        <x:v>0</x:v>
      </x:c>
      <x:c r="J10" s="28" t="n">
        <x:v>151740</x:v>
      </x:c>
      <x:c r="K10" s="28" t="n">
        <x:v>0</x:v>
      </x:c>
      <x:c r="L10" t="n">
        <x:v>0</x:v>
      </x:c>
      <x:c r="M10" t="str">
        <x:v>SINTETICO</x:v>
      </x:c>
    </x:row>
    <x:row r="11">
      <x:c r="A11" t="str">
        <x:v>CASO-0005-to_be</x:v>
      </x:c>
      <x:c r="B11" t="str">
        <x:v>TO-BE</x:v>
      </x:c>
      <x:c r="C11" t="str">
        <x:v>2026-07</x:v>
      </x:c>
      <x:c r="D11" s="26" t="n">
        <x:v>0.823</x:v>
      </x:c>
      <x:c r="E11" s="26" t="n">
        <x:v>14.723</x:v>
      </x:c>
      <x:c r="F11" s="26" t="n">
        <x:v>15.546</x:v>
      </x:c>
      <x:c r="G11" t="n">
        <x:v>1</x:v>
      </x:c>
      <x:c r="H11" t="n">
        <x:v>0</x:v>
      </x:c>
      <x:c r="I11" t="n">
        <x:v>0</x:v>
      </x:c>
      <x:c r="J11" s="28" t="n">
        <x:v>49380</x:v>
      </x:c>
      <x:c r="K11" s="28" t="n">
        <x:v>70000</x:v>
      </x:c>
      <x:c r="L11" t="n">
        <x:v>0</x:v>
      </x:c>
      <x:c r="M11" t="str">
        <x:v>SINTETICO</x:v>
      </x:c>
    </x:row>
    <x:row r="12">
      <x:c r="A12" t="str">
        <x:v>CASO-0006-as_is</x:v>
      </x:c>
      <x:c r="B12" t="str">
        <x:v>AS-IS</x:v>
      </x:c>
      <x:c r="C12" t="str">
        <x:v>2026-07</x:v>
      </x:c>
      <x:c r="D12" s="26" t="n">
        <x:v>3.907</x:v>
      </x:c>
      <x:c r="E12" s="26" t="n">
        <x:v>49.945</x:v>
      </x:c>
      <x:c r="F12" s="26" t="n">
        <x:v>53.852</x:v>
      </x:c>
      <x:c r="G12" t="n">
        <x:v>0</x:v>
      </x:c>
      <x:c r="H12" t="n">
        <x:v>0</x:v>
      </x:c>
      <x:c r="I12" t="n">
        <x:v>0</x:v>
      </x:c>
      <x:c r="J12" s="28" t="n">
        <x:v>234420</x:v>
      </x:c>
      <x:c r="K12" s="28" t="n">
        <x:v>0</x:v>
      </x:c>
      <x:c r="L12" t="n">
        <x:v>0</x:v>
      </x:c>
      <x:c r="M12" t="str">
        <x:v>SINTETICO</x:v>
      </x:c>
    </x:row>
    <x:row r="13">
      <x:c r="A13" t="str">
        <x:v>CASO-0006-to_be</x:v>
      </x:c>
      <x:c r="B13" t="str">
        <x:v>TO-BE</x:v>
      </x:c>
      <x:c r="C13" t="str">
        <x:v>2026-07</x:v>
      </x:c>
      <x:c r="D13" s="26" t="n">
        <x:v>1.473</x:v>
      </x:c>
      <x:c r="E13" s="26" t="n">
        <x:v>30.814</x:v>
      </x:c>
      <x:c r="F13" s="26" t="n">
        <x:v>32.287</x:v>
      </x:c>
      <x:c r="G13" t="n">
        <x:v>0</x:v>
      </x:c>
      <x:c r="H13" t="n">
        <x:v>0</x:v>
      </x:c>
      <x:c r="I13" t="n">
        <x:v>1</x:v>
      </x:c>
      <x:c r="J13" s="28" t="n">
        <x:v>88380</x:v>
      </x:c>
      <x:c r="K13" s="28" t="n">
        <x:v>0</x:v>
      </x:c>
      <x:c r="L13" t="n">
        <x:v>0</x:v>
      </x:c>
      <x:c r="M13" t="str">
        <x:v>SINTETICO</x:v>
      </x:c>
    </x:row>
    <x:row r="14">
      <x:c r="A14" t="str">
        <x:v>CASO-0007-as_is</x:v>
      </x:c>
      <x:c r="B14" t="str">
        <x:v>AS-IS</x:v>
      </x:c>
      <x:c r="C14" t="str">
        <x:v>2026-07</x:v>
      </x:c>
      <x:c r="D14" s="26" t="n">
        <x:v>3.424</x:v>
      </x:c>
      <x:c r="E14" s="26" t="n">
        <x:v>53.203</x:v>
      </x:c>
      <x:c r="F14" s="26" t="n">
        <x:v>56.627</x:v>
      </x:c>
      <x:c r="G14" t="n">
        <x:v>0</x:v>
      </x:c>
      <x:c r="H14" t="n">
        <x:v>0</x:v>
      </x:c>
      <x:c r="I14" t="n">
        <x:v>0</x:v>
      </x:c>
      <x:c r="J14" s="28" t="n">
        <x:v>205440</x:v>
      </x:c>
      <x:c r="K14" s="28" t="n">
        <x:v>0</x:v>
      </x:c>
      <x:c r="L14" t="n">
        <x:v>0</x:v>
      </x:c>
      <x:c r="M14" t="str">
        <x:v>SINTETICO</x:v>
      </x:c>
    </x:row>
    <x:row r="15">
      <x:c r="A15" t="str">
        <x:v>CASO-0007-to_be</x:v>
      </x:c>
      <x:c r="B15" t="str">
        <x:v>TO-BE</x:v>
      </x:c>
      <x:c r="C15" t="str">
        <x:v>2026-07</x:v>
      </x:c>
      <x:c r="D15" s="26" t="n">
        <x:v>1.206</x:v>
      </x:c>
      <x:c r="E15" s="26" t="n">
        <x:v>21.452</x:v>
      </x:c>
      <x:c r="F15" s="26" t="n">
        <x:v>22.658</x:v>
      </x:c>
      <x:c r="G15" t="n">
        <x:v>0</x:v>
      </x:c>
      <x:c r="H15" t="n">
        <x:v>0</x:v>
      </x:c>
      <x:c r="I15" t="n">
        <x:v>1</x:v>
      </x:c>
      <x:c r="J15" s="28" t="n">
        <x:v>72360</x:v>
      </x:c>
      <x:c r="K15" s="28" t="n">
        <x:v>0</x:v>
      </x:c>
      <x:c r="L15" t="n">
        <x:v>0</x:v>
      </x:c>
      <x:c r="M15" t="str">
        <x:v>SINTETICO</x:v>
      </x:c>
    </x:row>
    <x:row r="16">
      <x:c r="A16" t="str">
        <x:v>CASO-0008-as_is</x:v>
      </x:c>
      <x:c r="B16" t="str">
        <x:v>AS-IS</x:v>
      </x:c>
      <x:c r="C16" t="str">
        <x:v>2026-07</x:v>
      </x:c>
      <x:c r="D16" s="26" t="n">
        <x:v>2.137</x:v>
      </x:c>
      <x:c r="E16" s="26" t="n">
        <x:v>38.373</x:v>
      </x:c>
      <x:c r="F16" s="26" t="n">
        <x:v>40.51</x:v>
      </x:c>
      <x:c r="G16" t="n">
        <x:v>0</x:v>
      </x:c>
      <x:c r="H16" t="n">
        <x:v>1</x:v>
      </x:c>
      <x:c r="I16" t="n">
        <x:v>0</x:v>
      </x:c>
      <x:c r="J16" s="28" t="n">
        <x:v>128220</x:v>
      </x:c>
      <x:c r="K16" s="28" t="n">
        <x:v>0</x:v>
      </x:c>
      <x:c r="L16" t="n">
        <x:v>0</x:v>
      </x:c>
      <x:c r="M16" t="str">
        <x:v>SINTETICO</x:v>
      </x:c>
    </x:row>
    <x:row r="17">
      <x:c r="A17" t="str">
        <x:v>CASO-0008-to_be</x:v>
      </x:c>
      <x:c r="B17" t="str">
        <x:v>TO-BE</x:v>
      </x:c>
      <x:c r="C17" t="str">
        <x:v>2026-07</x:v>
      </x:c>
      <x:c r="D17" s="26" t="n">
        <x:v>1.127</x:v>
      </x:c>
      <x:c r="E17" s="26" t="n">
        <x:v>15.056</x:v>
      </x:c>
      <x:c r="F17" s="26" t="n">
        <x:v>16.183</x:v>
      </x:c>
      <x:c r="G17" t="n">
        <x:v>0</x:v>
      </x:c>
      <x:c r="H17" t="n">
        <x:v>0</x:v>
      </x:c>
      <x:c r="I17" t="n">
        <x:v>1</x:v>
      </x:c>
      <x:c r="J17" s="28" t="n">
        <x:v>67620</x:v>
      </x:c>
      <x:c r="K17" s="28" t="n">
        <x:v>0</x:v>
      </x:c>
      <x:c r="L17" t="n">
        <x:v>0</x:v>
      </x:c>
      <x:c r="M17" t="str">
        <x:v>SINTETICO</x:v>
      </x:c>
    </x:row>
    <x:row r="18">
      <x:c r="A18" t="str">
        <x:v>CASO-0009-as_is</x:v>
      </x:c>
      <x:c r="B18" t="str">
        <x:v>AS-IS</x:v>
      </x:c>
      <x:c r="C18" t="str">
        <x:v>2026-07</x:v>
      </x:c>
      <x:c r="D18" s="26" t="n">
        <x:v>3.223</x:v>
      </x:c>
      <x:c r="E18" s="26" t="n">
        <x:v>58.712</x:v>
      </x:c>
      <x:c r="F18" s="26" t="n">
        <x:v>61.935</x:v>
      </x:c>
      <x:c r="G18" t="n">
        <x:v>0</x:v>
      </x:c>
      <x:c r="H18" t="n">
        <x:v>1</x:v>
      </x:c>
      <x:c r="I18" t="n">
        <x:v>0</x:v>
      </x:c>
      <x:c r="J18" s="28" t="n">
        <x:v>193380</x:v>
      </x:c>
      <x:c r="K18" s="28" t="n">
        <x:v>0</x:v>
      </x:c>
      <x:c r="L18" t="n">
        <x:v>1</x:v>
      </x:c>
      <x:c r="M18" t="str">
        <x:v>SINTETICO</x:v>
      </x:c>
    </x:row>
    <x:row r="19">
      <x:c r="A19" t="str">
        <x:v>CASO-0009-to_be</x:v>
      </x:c>
      <x:c r="B19" t="str">
        <x:v>TO-BE</x:v>
      </x:c>
      <x:c r="C19" t="str">
        <x:v>2026-07</x:v>
      </x:c>
      <x:c r="D19" s="26" t="n">
        <x:v>1.128</x:v>
      </x:c>
      <x:c r="E19" s="26" t="n">
        <x:v>29.385</x:v>
      </x:c>
      <x:c r="F19" s="26" t="n">
        <x:v>30.513</x:v>
      </x:c>
      <x:c r="G19" t="n">
        <x:v>0</x:v>
      </x:c>
      <x:c r="H19" t="n">
        <x:v>0</x:v>
      </x:c>
      <x:c r="I19" t="n">
        <x:v>0</x:v>
      </x:c>
      <x:c r="J19" s="28" t="n">
        <x:v>67680</x:v>
      </x:c>
      <x:c r="K19" s="28" t="n">
        <x:v>0</x:v>
      </x:c>
      <x:c r="L19" t="n">
        <x:v>1</x:v>
      </x:c>
      <x:c r="M19" t="str">
        <x:v>SINTETICO</x:v>
      </x:c>
    </x:row>
    <x:row r="20">
      <x:c r="A20" t="str">
        <x:v>CASO-0010-as_is</x:v>
      </x:c>
      <x:c r="B20" t="str">
        <x:v>AS-IS</x:v>
      </x:c>
      <x:c r="C20" t="str">
        <x:v>2026-07</x:v>
      </x:c>
      <x:c r="D20" s="26" t="n">
        <x:v>3.157</x:v>
      </x:c>
      <x:c r="E20" s="26" t="n">
        <x:v>56.436</x:v>
      </x:c>
      <x:c r="F20" s="26" t="n">
        <x:v>59.593</x:v>
      </x:c>
      <x:c r="G20" t="n">
        <x:v>0</x:v>
      </x:c>
      <x:c r="H20" t="n">
        <x:v>0</x:v>
      </x:c>
      <x:c r="I20" t="n">
        <x:v>0</x:v>
      </x:c>
      <x:c r="J20" s="28" t="n">
        <x:v>189420</x:v>
      </x:c>
      <x:c r="K20" s="28" t="n">
        <x:v>0</x:v>
      </x:c>
      <x:c r="L20" t="n">
        <x:v>0</x:v>
      </x:c>
      <x:c r="M20" t="str">
        <x:v>SINTETICO</x:v>
      </x:c>
    </x:row>
    <x:row r="21">
      <x:c r="A21" t="str">
        <x:v>CASO-0010-to_be</x:v>
      </x:c>
      <x:c r="B21" t="str">
        <x:v>TO-BE</x:v>
      </x:c>
      <x:c r="C21" t="str">
        <x:v>2026-07</x:v>
      </x:c>
      <x:c r="D21" s="26" t="n">
        <x:v>1.017</x:v>
      </x:c>
      <x:c r="E21" s="26" t="n">
        <x:v>27.285</x:v>
      </x:c>
      <x:c r="F21" s="26" t="n">
        <x:v>28.302</x:v>
      </x:c>
      <x:c r="G21" t="n">
        <x:v>1</x:v>
      </x:c>
      <x:c r="H21" t="n">
        <x:v>0</x:v>
      </x:c>
      <x:c r="I21" t="n">
        <x:v>0</x:v>
      </x:c>
      <x:c r="J21" s="28" t="n">
        <x:v>61020</x:v>
      </x:c>
      <x:c r="K21" s="28" t="n">
        <x:v>70000</x:v>
      </x:c>
      <x:c r="L21" t="n">
        <x:v>0</x:v>
      </x:c>
      <x:c r="M21" t="str">
        <x:v>SINTETICO</x:v>
      </x:c>
    </x:row>
    <x:row r="22">
      <x:c r="A22" t="str">
        <x:v>CASO-0011-as_is</x:v>
      </x:c>
      <x:c r="B22" t="str">
        <x:v>AS-IS</x:v>
      </x:c>
      <x:c r="C22" t="str">
        <x:v>2026-07</x:v>
      </x:c>
      <x:c r="D22" s="26" t="n">
        <x:v>2.845</x:v>
      </x:c>
      <x:c r="E22" s="26" t="n">
        <x:v>47.313</x:v>
      </x:c>
      <x:c r="F22" s="26" t="n">
        <x:v>50.158</x:v>
      </x:c>
      <x:c r="G22" t="n">
        <x:v>0</x:v>
      </x:c>
      <x:c r="H22" t="n">
        <x:v>0</x:v>
      </x:c>
      <x:c r="I22" t="n">
        <x:v>0</x:v>
      </x:c>
      <x:c r="J22" s="28" t="n">
        <x:v>170700</x:v>
      </x:c>
      <x:c r="K22" s="28" t="n">
        <x:v>0</x:v>
      </x:c>
      <x:c r="L22" t="n">
        <x:v>0</x:v>
      </x:c>
      <x:c r="M22" t="str">
        <x:v>SINTETICO</x:v>
      </x:c>
    </x:row>
    <x:row r="23">
      <x:c r="A23" t="str">
        <x:v>CASO-0011-to_be</x:v>
      </x:c>
      <x:c r="B23" t="str">
        <x:v>TO-BE</x:v>
      </x:c>
      <x:c r="C23" t="str">
        <x:v>2026-07</x:v>
      </x:c>
      <x:c r="D23" s="26" t="n">
        <x:v>1.173</x:v>
      </x:c>
      <x:c r="E23" s="26" t="n">
        <x:v>23.372</x:v>
      </x:c>
      <x:c r="F23" s="26" t="n">
        <x:v>24.545</x:v>
      </x:c>
      <x:c r="G23" t="n">
        <x:v>0</x:v>
      </x:c>
      <x:c r="H23" t="n">
        <x:v>0</x:v>
      </x:c>
      <x:c r="I23" t="n">
        <x:v>0</x:v>
      </x:c>
      <x:c r="J23" s="28" t="n">
        <x:v>70380</x:v>
      </x:c>
      <x:c r="K23" s="28" t="n">
        <x:v>0</x:v>
      </x:c>
      <x:c r="L23" t="n">
        <x:v>0</x:v>
      </x:c>
      <x:c r="M23" t="str">
        <x:v>SINTETICO</x:v>
      </x:c>
    </x:row>
    <x:row r="24">
      <x:c r="A24" t="str">
        <x:v>CASO-0012-as_is</x:v>
      </x:c>
      <x:c r="B24" t="str">
        <x:v>AS-IS</x:v>
      </x:c>
      <x:c r="C24" t="str">
        <x:v>2026-07</x:v>
      </x:c>
      <x:c r="D24" s="26" t="n">
        <x:v>3.578</x:v>
      </x:c>
      <x:c r="E24" s="26" t="n">
        <x:v>47.389</x:v>
      </x:c>
      <x:c r="F24" s="26" t="n">
        <x:v>50.967</x:v>
      </x:c>
      <x:c r="G24" t="n">
        <x:v>0</x:v>
      </x:c>
      <x:c r="H24" t="n">
        <x:v>0</x:v>
      </x:c>
      <x:c r="I24" t="n">
        <x:v>1</x:v>
      </x:c>
      <x:c r="J24" s="28" t="n">
        <x:v>214680</x:v>
      </x:c>
      <x:c r="K24" s="28" t="n">
        <x:v>0</x:v>
      </x:c>
      <x:c r="L24" t="n">
        <x:v>1</x:v>
      </x:c>
      <x:c r="M24" t="str">
        <x:v>SINTETICO</x:v>
      </x:c>
    </x:row>
    <x:row r="25">
      <x:c r="A25" t="str">
        <x:v>CASO-0012-to_be</x:v>
      </x:c>
      <x:c r="B25" t="str">
        <x:v>TO-BE</x:v>
      </x:c>
      <x:c r="C25" t="str">
        <x:v>2026-07</x:v>
      </x:c>
      <x:c r="D25" s="26" t="n">
        <x:v>1.416</x:v>
      </x:c>
      <x:c r="E25" s="26" t="n">
        <x:v>33.393</x:v>
      </x:c>
      <x:c r="F25" s="26" t="n">
        <x:v>34.809</x:v>
      </x:c>
      <x:c r="G25" t="n">
        <x:v>0</x:v>
      </x:c>
      <x:c r="H25" t="n">
        <x:v>0</x:v>
      </x:c>
      <x:c r="I25" t="n">
        <x:v>1</x:v>
      </x:c>
      <x:c r="J25" s="28" t="n">
        <x:v>84960</x:v>
      </x:c>
      <x:c r="K25" s="28" t="n">
        <x:v>0</x:v>
      </x:c>
      <x:c r="L25" t="n">
        <x:v>1</x:v>
      </x:c>
      <x:c r="M25" t="str">
        <x:v>SINTETICO</x:v>
      </x:c>
    </x:row>
    <x:row r="26">
      <x:c r="A26" t="str">
        <x:v>CASO-0013-as_is</x:v>
      </x:c>
      <x:c r="B26" t="str">
        <x:v>AS-IS</x:v>
      </x:c>
      <x:c r="C26" t="str">
        <x:v>2026-07</x:v>
      </x:c>
      <x:c r="D26" s="26" t="n">
        <x:v>3.639</x:v>
      </x:c>
      <x:c r="E26" s="26" t="n">
        <x:v>62.432</x:v>
      </x:c>
      <x:c r="F26" s="26" t="n">
        <x:v>66.071</x:v>
      </x:c>
      <x:c r="G26" t="n">
        <x:v>1</x:v>
      </x:c>
      <x:c r="H26" t="n">
        <x:v>1</x:v>
      </x:c>
      <x:c r="I26" t="n">
        <x:v>0</x:v>
      </x:c>
      <x:c r="J26" s="28" t="n">
        <x:v>218340</x:v>
      </x:c>
      <x:c r="K26" s="28" t="n">
        <x:v>70000</x:v>
      </x:c>
      <x:c r="L26" t="n">
        <x:v>0</x:v>
      </x:c>
      <x:c r="M26" t="str">
        <x:v>SINTETICO</x:v>
      </x:c>
    </x:row>
    <x:row r="27">
      <x:c r="A27" t="str">
        <x:v>CASO-0013-to_be</x:v>
      </x:c>
      <x:c r="B27" t="str">
        <x:v>TO-BE</x:v>
      </x:c>
      <x:c r="C27" t="str">
        <x:v>2026-07</x:v>
      </x:c>
      <x:c r="D27" s="26" t="n">
        <x:v>1.263</x:v>
      </x:c>
      <x:c r="E27" s="26" t="n">
        <x:v>22.595</x:v>
      </x:c>
      <x:c r="F27" s="26" t="n">
        <x:v>23.858</x:v>
      </x:c>
      <x:c r="G27" t="n">
        <x:v>0</x:v>
      </x:c>
      <x:c r="H27" t="n">
        <x:v>0</x:v>
      </x:c>
      <x:c r="I27" t="n">
        <x:v>0</x:v>
      </x:c>
      <x:c r="J27" s="28" t="n">
        <x:v>75780</x:v>
      </x:c>
      <x:c r="K27" s="28" t="n">
        <x:v>0</x:v>
      </x:c>
      <x:c r="L27" t="n">
        <x:v>0</x:v>
      </x:c>
      <x:c r="M27" t="str">
        <x:v>SINTETICO</x:v>
      </x:c>
    </x:row>
    <x:row r="28">
      <x:c r="A28" t="str">
        <x:v>CASO-0014-as_is</x:v>
      </x:c>
      <x:c r="B28" t="str">
        <x:v>AS-IS</x:v>
      </x:c>
      <x:c r="C28" t="str">
        <x:v>2026-07</x:v>
      </x:c>
      <x:c r="D28" s="26" t="n">
        <x:v>2.391</x:v>
      </x:c>
      <x:c r="E28" s="26" t="n">
        <x:v>33.045</x:v>
      </x:c>
      <x:c r="F28" s="26" t="n">
        <x:v>35.436</x:v>
      </x:c>
      <x:c r="G28" t="n">
        <x:v>0</x:v>
      </x:c>
      <x:c r="H28" t="n">
        <x:v>0</x:v>
      </x:c>
      <x:c r="I28" t="n">
        <x:v>1</x:v>
      </x:c>
      <x:c r="J28" s="28" t="n">
        <x:v>143460</x:v>
      </x:c>
      <x:c r="K28" s="28" t="n">
        <x:v>0</x:v>
      </x:c>
      <x:c r="L28" t="n">
        <x:v>0</x:v>
      </x:c>
      <x:c r="M28" t="str">
        <x:v>SINTETICO</x:v>
      </x:c>
    </x:row>
    <x:row r="29">
      <x:c r="A29" t="str">
        <x:v>CASO-0014-to_be</x:v>
      </x:c>
      <x:c r="B29" t="str">
        <x:v>TO-BE</x:v>
      </x:c>
      <x:c r="C29" t="str">
        <x:v>2026-07</x:v>
      </x:c>
      <x:c r="D29" s="26" t="n">
        <x:v>0.962</x:v>
      </x:c>
      <x:c r="E29" s="26" t="n">
        <x:v>18.9</x:v>
      </x:c>
      <x:c r="F29" s="26" t="n">
        <x:v>19.862</x:v>
      </x:c>
      <x:c r="G29" t="n">
        <x:v>0</x:v>
      </x:c>
      <x:c r="H29" t="n">
        <x:v>0</x:v>
      </x:c>
      <x:c r="I29" t="n">
        <x:v>1</x:v>
      </x:c>
      <x:c r="J29" s="28" t="n">
        <x:v>57720</x:v>
      </x:c>
      <x:c r="K29" s="28" t="n">
        <x:v>0</x:v>
      </x:c>
      <x:c r="L29" t="n">
        <x:v>0</x:v>
      </x:c>
      <x:c r="M29" t="str">
        <x:v>SINTETICO</x:v>
      </x:c>
    </x:row>
    <x:row r="30">
      <x:c r="A30" t="str">
        <x:v>CASO-0015-as_is</x:v>
      </x:c>
      <x:c r="B30" t="str">
        <x:v>AS-IS</x:v>
      </x:c>
      <x:c r="C30" t="str">
        <x:v>2026-07</x:v>
      </x:c>
      <x:c r="D30" s="26" t="n">
        <x:v>2.503</x:v>
      </x:c>
      <x:c r="E30" s="26" t="n">
        <x:v>26.228</x:v>
      </x:c>
      <x:c r="F30" s="26" t="n">
        <x:v>28.731</x:v>
      </x:c>
      <x:c r="G30" t="n">
        <x:v>1</x:v>
      </x:c>
      <x:c r="H30" t="n">
        <x:v>0</x:v>
      </x:c>
      <x:c r="I30" t="n">
        <x:v>1</x:v>
      </x:c>
      <x:c r="J30" s="28" t="n">
        <x:v>150180</x:v>
      </x:c>
      <x:c r="K30" s="28" t="n">
        <x:v>70000</x:v>
      </x:c>
      <x:c r="L30" t="n">
        <x:v>0</x:v>
      </x:c>
      <x:c r="M30" t="str">
        <x:v>SINTETICO</x:v>
      </x:c>
    </x:row>
    <x:row r="31">
      <x:c r="A31" t="str">
        <x:v>CASO-0015-to_be</x:v>
      </x:c>
      <x:c r="B31" t="str">
        <x:v>TO-BE</x:v>
      </x:c>
      <x:c r="C31" t="str">
        <x:v>2026-07</x:v>
      </x:c>
      <x:c r="D31" s="26" t="n">
        <x:v>1.065</x:v>
      </x:c>
      <x:c r="E31" s="26" t="n">
        <x:v>19.675</x:v>
      </x:c>
      <x:c r="F31" s="26" t="n">
        <x:v>20.74</x:v>
      </x:c>
      <x:c r="G31" t="n">
        <x:v>0</x:v>
      </x:c>
      <x:c r="H31" t="n">
        <x:v>0</x:v>
      </x:c>
      <x:c r="I31" t="n">
        <x:v>1</x:v>
      </x:c>
      <x:c r="J31" s="28" t="n">
        <x:v>63900</x:v>
      </x:c>
      <x:c r="K31" s="28" t="n">
        <x:v>0</x:v>
      </x:c>
      <x:c r="L31" t="n">
        <x:v>0</x:v>
      </x:c>
      <x:c r="M31" t="str">
        <x:v>SINTETICO</x:v>
      </x:c>
    </x:row>
    <x:row r="32">
      <x:c r="A32" t="str">
        <x:v>CASO-0016-as_is</x:v>
      </x:c>
      <x:c r="B32" t="str">
        <x:v>AS-IS</x:v>
      </x:c>
      <x:c r="C32" t="str">
        <x:v>2026-07</x:v>
      </x:c>
      <x:c r="D32" s="26" t="n">
        <x:v>2.29</x:v>
      </x:c>
      <x:c r="E32" s="26" t="n">
        <x:v>40.073</x:v>
      </x:c>
      <x:c r="F32" s="26" t="n">
        <x:v>42.363</x:v>
      </x:c>
      <x:c r="G32" t="n">
        <x:v>0</x:v>
      </x:c>
      <x:c r="H32" t="n">
        <x:v>1</x:v>
      </x:c>
      <x:c r="I32" t="n">
        <x:v>0</x:v>
      </x:c>
      <x:c r="J32" s="28" t="n">
        <x:v>137400</x:v>
      </x:c>
      <x:c r="K32" s="28" t="n">
        <x:v>0</x:v>
      </x:c>
      <x:c r="L32" t="n">
        <x:v>0</x:v>
      </x:c>
      <x:c r="M32" t="str">
        <x:v>SINTETICO</x:v>
      </x:c>
    </x:row>
    <x:row r="33">
      <x:c r="A33" t="str">
        <x:v>CASO-0016-to_be</x:v>
      </x:c>
      <x:c r="B33" t="str">
        <x:v>TO-BE</x:v>
      </x:c>
      <x:c r="C33" t="str">
        <x:v>2026-07</x:v>
      </x:c>
      <x:c r="D33" s="26" t="n">
        <x:v>0.927</x:v>
      </x:c>
      <x:c r="E33" s="26" t="n">
        <x:v>22.136</x:v>
      </x:c>
      <x:c r="F33" s="26" t="n">
        <x:v>23.063</x:v>
      </x:c>
      <x:c r="G33" t="n">
        <x:v>0</x:v>
      </x:c>
      <x:c r="H33" t="n">
        <x:v>0</x:v>
      </x:c>
      <x:c r="I33" t="n">
        <x:v>1</x:v>
      </x:c>
      <x:c r="J33" s="28" t="n">
        <x:v>55620</x:v>
      </x:c>
      <x:c r="K33" s="28" t="n">
        <x:v>0</x:v>
      </x:c>
      <x:c r="L33" t="n">
        <x:v>0</x:v>
      </x:c>
      <x:c r="M33" t="str">
        <x:v>SINTETICO</x:v>
      </x:c>
    </x:row>
    <x:row r="34">
      <x:c r="A34" t="str">
        <x:v>CASO-0017-as_is</x:v>
      </x:c>
      <x:c r="B34" t="str">
        <x:v>AS-IS</x:v>
      </x:c>
      <x:c r="C34" t="str">
        <x:v>2026-07</x:v>
      </x:c>
      <x:c r="D34" s="26" t="n">
        <x:v>2.803</x:v>
      </x:c>
      <x:c r="E34" s="26" t="n">
        <x:v>38.498</x:v>
      </x:c>
      <x:c r="F34" s="26" t="n">
        <x:v>41.301</x:v>
      </x:c>
      <x:c r="G34" t="n">
        <x:v>0</x:v>
      </x:c>
      <x:c r="H34" t="n">
        <x:v>0</x:v>
      </x:c>
      <x:c r="I34" t="n">
        <x:v>0</x:v>
      </x:c>
      <x:c r="J34" s="28" t="n">
        <x:v>168180</x:v>
      </x:c>
      <x:c r="K34" s="28" t="n">
        <x:v>0</x:v>
      </x:c>
      <x:c r="L34" t="n">
        <x:v>1</x:v>
      </x:c>
      <x:c r="M34" t="str">
        <x:v>SINTETICO</x:v>
      </x:c>
    </x:row>
    <x:row r="35">
      <x:c r="A35" t="str">
        <x:v>CASO-0017-to_be</x:v>
      </x:c>
      <x:c r="B35" t="str">
        <x:v>TO-BE</x:v>
      </x:c>
      <x:c r="C35" t="str">
        <x:v>2026-07</x:v>
      </x:c>
      <x:c r="D35" s="26" t="n">
        <x:v>1.386</x:v>
      </x:c>
      <x:c r="E35" s="26" t="n">
        <x:v>24.657</x:v>
      </x:c>
      <x:c r="F35" s="26" t="n">
        <x:v>26.043</x:v>
      </x:c>
      <x:c r="G35" t="n">
        <x:v>0</x:v>
      </x:c>
      <x:c r="H35" t="n">
        <x:v>0</x:v>
      </x:c>
      <x:c r="I35" t="n">
        <x:v>1</x:v>
      </x:c>
      <x:c r="J35" s="28" t="n">
        <x:v>83160</x:v>
      </x:c>
      <x:c r="K35" s="28" t="n">
        <x:v>0</x:v>
      </x:c>
      <x:c r="L35" t="n">
        <x:v>1</x:v>
      </x:c>
      <x:c r="M35" t="str">
        <x:v>SINTETICO</x:v>
      </x:c>
    </x:row>
    <x:row r="36">
      <x:c r="A36" t="str">
        <x:v>CASO-0018-as_is</x:v>
      </x:c>
      <x:c r="B36" t="str">
        <x:v>AS-IS</x:v>
      </x:c>
      <x:c r="C36" t="str">
        <x:v>2026-07</x:v>
      </x:c>
      <x:c r="D36" s="26" t="n">
        <x:v>3.054</x:v>
      </x:c>
      <x:c r="E36" s="26" t="n">
        <x:v>43.66</x:v>
      </x:c>
      <x:c r="F36" s="26" t="n">
        <x:v>46.714</x:v>
      </x:c>
      <x:c r="G36" t="n">
        <x:v>0</x:v>
      </x:c>
      <x:c r="H36" t="n">
        <x:v>0</x:v>
      </x:c>
      <x:c r="I36" t="n">
        <x:v>0</x:v>
      </x:c>
      <x:c r="J36" s="28" t="n">
        <x:v>183240</x:v>
      </x:c>
      <x:c r="K36" s="28" t="n">
        <x:v>0</x:v>
      </x:c>
      <x:c r="L36" t="n">
        <x:v>1</x:v>
      </x:c>
      <x:c r="M36" t="str">
        <x:v>SINTETICO</x:v>
      </x:c>
    </x:row>
    <x:row r="37">
      <x:c r="A37" t="str">
        <x:v>CASO-0018-to_be</x:v>
      </x:c>
      <x:c r="B37" t="str">
        <x:v>TO-BE</x:v>
      </x:c>
      <x:c r="C37" t="str">
        <x:v>2026-07</x:v>
      </x:c>
      <x:c r="D37" s="26" t="n">
        <x:v>1.307</x:v>
      </x:c>
      <x:c r="E37" s="26" t="n">
        <x:v>19.455</x:v>
      </x:c>
      <x:c r="F37" s="26" t="n">
        <x:v>20.762</x:v>
      </x:c>
      <x:c r="G37" t="n">
        <x:v>0</x:v>
      </x:c>
      <x:c r="H37" t="n">
        <x:v>0</x:v>
      </x:c>
      <x:c r="I37" t="n">
        <x:v>1</x:v>
      </x:c>
      <x:c r="J37" s="28" t="n">
        <x:v>78420</x:v>
      </x:c>
      <x:c r="K37" s="28" t="n">
        <x:v>0</x:v>
      </x:c>
      <x:c r="L37" t="n">
        <x:v>1</x:v>
      </x:c>
      <x:c r="M37" t="str">
        <x:v>SINTETICO</x:v>
      </x:c>
    </x:row>
    <x:row r="38">
      <x:c r="A38" t="str">
        <x:v>CASO-0019-as_is</x:v>
      </x:c>
      <x:c r="B38" t="str">
        <x:v>AS-IS</x:v>
      </x:c>
      <x:c r="C38" t="str">
        <x:v>2026-07</x:v>
      </x:c>
      <x:c r="D38" s="26" t="n">
        <x:v>2.743</x:v>
      </x:c>
      <x:c r="E38" s="26" t="n">
        <x:v>33.116</x:v>
      </x:c>
      <x:c r="F38" s="26" t="n">
        <x:v>35.859</x:v>
      </x:c>
      <x:c r="G38" t="n">
        <x:v>1</x:v>
      </x:c>
      <x:c r="H38" t="n">
        <x:v>0</x:v>
      </x:c>
      <x:c r="I38" t="n">
        <x:v>0</x:v>
      </x:c>
      <x:c r="J38" s="28" t="n">
        <x:v>164580</x:v>
      </x:c>
      <x:c r="K38" s="28" t="n">
        <x:v>70000</x:v>
      </x:c>
      <x:c r="L38" t="n">
        <x:v>1</x:v>
      </x:c>
      <x:c r="M38" t="str">
        <x:v>SINTETICO</x:v>
      </x:c>
    </x:row>
    <x:row r="39">
      <x:c r="A39" t="str">
        <x:v>CASO-0019-to_be</x:v>
      </x:c>
      <x:c r="B39" t="str">
        <x:v>TO-BE</x:v>
      </x:c>
      <x:c r="C39" t="str">
        <x:v>2026-07</x:v>
      </x:c>
      <x:c r="D39" s="26" t="n">
        <x:v>0.915</x:v>
      </x:c>
      <x:c r="E39" s="26" t="n">
        <x:v>23.942</x:v>
      </x:c>
      <x:c r="F39" s="26" t="n">
        <x:v>24.857</x:v>
      </x:c>
      <x:c r="G39" t="n">
        <x:v>0</x:v>
      </x:c>
      <x:c r="H39" t="n">
        <x:v>0</x:v>
      </x:c>
      <x:c r="I39" t="n">
        <x:v>1</x:v>
      </x:c>
      <x:c r="J39" s="28" t="n">
        <x:v>54900</x:v>
      </x:c>
      <x:c r="K39" s="28" t="n">
        <x:v>0</x:v>
      </x:c>
      <x:c r="L39" t="n">
        <x:v>1</x:v>
      </x:c>
      <x:c r="M39" t="str">
        <x:v>SINTETICO</x:v>
      </x:c>
    </x:row>
    <x:row r="40">
      <x:c r="A40" t="str">
        <x:v>CASO-0020-as_is</x:v>
      </x:c>
      <x:c r="B40" t="str">
        <x:v>AS-IS</x:v>
      </x:c>
      <x:c r="C40" t="str">
        <x:v>2026-07</x:v>
      </x:c>
      <x:c r="D40" s="26" t="n">
        <x:v>1.935</x:v>
      </x:c>
      <x:c r="E40" s="26" t="n">
        <x:v>33.338</x:v>
      </x:c>
      <x:c r="F40" s="26" t="n">
        <x:v>35.273</x:v>
      </x:c>
      <x:c r="G40" t="n">
        <x:v>0</x:v>
      </x:c>
      <x:c r="H40" t="n">
        <x:v>0</x:v>
      </x:c>
      <x:c r="I40" t="n">
        <x:v>0</x:v>
      </x:c>
      <x:c r="J40" s="28" t="n">
        <x:v>116100</x:v>
      </x:c>
      <x:c r="K40" s="28" t="n">
        <x:v>0</x:v>
      </x:c>
      <x:c r="L40" t="n">
        <x:v>0</x:v>
      </x:c>
      <x:c r="M40" t="str">
        <x:v>SINTETICO</x:v>
      </x:c>
    </x:row>
    <x:row r="41">
      <x:c r="A41" t="str">
        <x:v>CASO-0020-to_be</x:v>
      </x:c>
      <x:c r="B41" t="str">
        <x:v>TO-BE</x:v>
      </x:c>
      <x:c r="C41" t="str">
        <x:v>2026-07</x:v>
      </x:c>
      <x:c r="D41" s="26" t="n">
        <x:v>0.925</x:v>
      </x:c>
      <x:c r="E41" s="26" t="n">
        <x:v>18.229</x:v>
      </x:c>
      <x:c r="F41" s="26" t="n">
        <x:v>19.154</x:v>
      </x:c>
      <x:c r="G41" t="n">
        <x:v>0</x:v>
      </x:c>
      <x:c r="H41" t="n">
        <x:v>1</x:v>
      </x:c>
      <x:c r="I41" t="n">
        <x:v>1</x:v>
      </x:c>
      <x:c r="J41" s="28" t="n">
        <x:v>55500</x:v>
      </x:c>
      <x:c r="K41" s="28" t="n">
        <x:v>0</x:v>
      </x:c>
      <x:c r="L41" t="n">
        <x:v>0</x:v>
      </x:c>
      <x:c r="M41" t="str">
        <x:v>SINTETICO</x:v>
      </x:c>
    </x:row>
    <x:row r="42">
      <x:c r="A42" t="str">
        <x:v>CASO-0021-as_is</x:v>
      </x:c>
      <x:c r="B42" t="str">
        <x:v>AS-IS</x:v>
      </x:c>
      <x:c r="C42" t="str">
        <x:v>2026-07</x:v>
      </x:c>
      <x:c r="D42" s="26" t="n">
        <x:v>2.586</x:v>
      </x:c>
      <x:c r="E42" s="26" t="n">
        <x:v>46.45</x:v>
      </x:c>
      <x:c r="F42" s="26" t="n">
        <x:v>49.036</x:v>
      </x:c>
      <x:c r="G42" t="n">
        <x:v>0</x:v>
      </x:c>
      <x:c r="H42" t="n">
        <x:v>0</x:v>
      </x:c>
      <x:c r="I42" t="n">
        <x:v>0</x:v>
      </x:c>
      <x:c r="J42" s="28" t="n">
        <x:v>155160</x:v>
      </x:c>
      <x:c r="K42" s="28" t="n">
        <x:v>0</x:v>
      </x:c>
      <x:c r="L42" t="n">
        <x:v>1</x:v>
      </x:c>
      <x:c r="M42" t="str">
        <x:v>SINTETICO</x:v>
      </x:c>
    </x:row>
    <x:row r="43">
      <x:c r="A43" t="str">
        <x:v>CASO-0021-to_be</x:v>
      </x:c>
      <x:c r="B43" t="str">
        <x:v>TO-BE</x:v>
      </x:c>
      <x:c r="C43" t="str">
        <x:v>2026-07</x:v>
      </x:c>
      <x:c r="D43" s="26" t="n">
        <x:v>0.847</x:v>
      </x:c>
      <x:c r="E43" s="26" t="n">
        <x:v>17.505</x:v>
      </x:c>
      <x:c r="F43" s="26" t="n">
        <x:v>18.352</x:v>
      </x:c>
      <x:c r="G43" t="n">
        <x:v>0</x:v>
      </x:c>
      <x:c r="H43" t="n">
        <x:v>0</x:v>
      </x:c>
      <x:c r="I43" t="n">
        <x:v>0</x:v>
      </x:c>
      <x:c r="J43" s="28" t="n">
        <x:v>50820</x:v>
      </x:c>
      <x:c r="K43" s="28" t="n">
        <x:v>0</x:v>
      </x:c>
      <x:c r="L43" t="n">
        <x:v>1</x:v>
      </x:c>
      <x:c r="M43" t="str">
        <x:v>SINTETICO</x:v>
      </x:c>
    </x:row>
    <x:row r="44">
      <x:c r="A44" t="str">
        <x:v>CASO-0022-as_is</x:v>
      </x:c>
      <x:c r="B44" t="str">
        <x:v>AS-IS</x:v>
      </x:c>
      <x:c r="C44" t="str">
        <x:v>2026-07</x:v>
      </x:c>
      <x:c r="D44" s="26" t="n">
        <x:v>2.314</x:v>
      </x:c>
      <x:c r="E44" s="26" t="n">
        <x:v>37.882</x:v>
      </x:c>
      <x:c r="F44" s="26" t="n">
        <x:v>40.196</x:v>
      </x:c>
      <x:c r="G44" t="n">
        <x:v>0</x:v>
      </x:c>
      <x:c r="H44" t="n">
        <x:v>0</x:v>
      </x:c>
      <x:c r="I44" t="n">
        <x:v>0</x:v>
      </x:c>
      <x:c r="J44" s="28" t="n">
        <x:v>138840</x:v>
      </x:c>
      <x:c r="K44" s="28" t="n">
        <x:v>0</x:v>
      </x:c>
      <x:c r="L44" t="n">
        <x:v>0</x:v>
      </x:c>
      <x:c r="M44" t="str">
        <x:v>SINTETICO</x:v>
      </x:c>
    </x:row>
    <x:row r="45">
      <x:c r="A45" t="str">
        <x:v>CASO-0022-to_be</x:v>
      </x:c>
      <x:c r="B45" t="str">
        <x:v>TO-BE</x:v>
      </x:c>
      <x:c r="C45" t="str">
        <x:v>2026-07</x:v>
      </x:c>
      <x:c r="D45" s="26" t="n">
        <x:v>1.187</x:v>
      </x:c>
      <x:c r="E45" s="26" t="n">
        <x:v>18.347</x:v>
      </x:c>
      <x:c r="F45" s="26" t="n">
        <x:v>19.534</x:v>
      </x:c>
      <x:c r="G45" t="n">
        <x:v>0</x:v>
      </x:c>
      <x:c r="H45" t="n">
        <x:v>0</x:v>
      </x:c>
      <x:c r="I45" t="n">
        <x:v>1</x:v>
      </x:c>
      <x:c r="J45" s="28" t="n">
        <x:v>71220</x:v>
      </x:c>
      <x:c r="K45" s="28" t="n">
        <x:v>0</x:v>
      </x:c>
      <x:c r="L45" t="n">
        <x:v>0</x:v>
      </x:c>
      <x:c r="M45" t="str">
        <x:v>SINTETICO</x:v>
      </x:c>
    </x:row>
    <x:row r="46">
      <x:c r="A46" t="str">
        <x:v>CASO-0023-as_is</x:v>
      </x:c>
      <x:c r="B46" t="str">
        <x:v>AS-IS</x:v>
      </x:c>
      <x:c r="C46" t="str">
        <x:v>2026-07</x:v>
      </x:c>
      <x:c r="D46" s="26" t="n">
        <x:v>2.955</x:v>
      </x:c>
      <x:c r="E46" s="26" t="n">
        <x:v>32.977</x:v>
      </x:c>
      <x:c r="F46" s="26" t="n">
        <x:v>35.932</x:v>
      </x:c>
      <x:c r="G46" t="n">
        <x:v>1</x:v>
      </x:c>
      <x:c r="H46" t="n">
        <x:v>1</x:v>
      </x:c>
      <x:c r="I46" t="n">
        <x:v>0</x:v>
      </x:c>
      <x:c r="J46" s="28" t="n">
        <x:v>177300</x:v>
      </x:c>
      <x:c r="K46" s="28" t="n">
        <x:v>70000</x:v>
      </x:c>
      <x:c r="L46" t="n">
        <x:v>1</x:v>
      </x:c>
      <x:c r="M46" t="str">
        <x:v>SINTETICO</x:v>
      </x:c>
    </x:row>
    <x:row r="47">
      <x:c r="A47" t="str">
        <x:v>CASO-0023-to_be</x:v>
      </x:c>
      <x:c r="B47" t="str">
        <x:v>TO-BE</x:v>
      </x:c>
      <x:c r="C47" t="str">
        <x:v>2026-07</x:v>
      </x:c>
      <x:c r="D47" s="26" t="n">
        <x:v>1.141</x:v>
      </x:c>
      <x:c r="E47" s="26" t="n">
        <x:v>25.717</x:v>
      </x:c>
      <x:c r="F47" s="26" t="n">
        <x:v>26.858</x:v>
      </x:c>
      <x:c r="G47" t="n">
        <x:v>0</x:v>
      </x:c>
      <x:c r="H47" t="n">
        <x:v>0</x:v>
      </x:c>
      <x:c r="I47" t="n">
        <x:v>1</x:v>
      </x:c>
      <x:c r="J47" s="28" t="n">
        <x:v>68460</x:v>
      </x:c>
      <x:c r="K47" s="28" t="n">
        <x:v>0</x:v>
      </x:c>
      <x:c r="L47" t="n">
        <x:v>1</x:v>
      </x:c>
      <x:c r="M47" t="str">
        <x:v>SINTETICO</x:v>
      </x:c>
    </x:row>
    <x:row r="48">
      <x:c r="A48" t="str">
        <x:v>CASO-0024-as_is</x:v>
      </x:c>
      <x:c r="B48" t="str">
        <x:v>AS-IS</x:v>
      </x:c>
      <x:c r="C48" t="str">
        <x:v>2026-07</x:v>
      </x:c>
      <x:c r="D48" s="26" t="n">
        <x:v>3.73</x:v>
      </x:c>
      <x:c r="E48" s="26" t="n">
        <x:v>35.637</x:v>
      </x:c>
      <x:c r="F48" s="26" t="n">
        <x:v>39.367</x:v>
      </x:c>
      <x:c r="G48" t="n">
        <x:v>0</x:v>
      </x:c>
      <x:c r="H48" t="n">
        <x:v>0</x:v>
      </x:c>
      <x:c r="I48" t="n">
        <x:v>1</x:v>
      </x:c>
      <x:c r="J48" s="28" t="n">
        <x:v>223800</x:v>
      </x:c>
      <x:c r="K48" s="28" t="n">
        <x:v>0</x:v>
      </x:c>
      <x:c r="L48" t="n">
        <x:v>0</x:v>
      </x:c>
      <x:c r="M48" t="str">
        <x:v>SINTETICO</x:v>
      </x:c>
    </x:row>
    <x:row r="49">
      <x:c r="A49" t="str">
        <x:v>CASO-0024-to_be</x:v>
      </x:c>
      <x:c r="B49" t="str">
        <x:v>TO-BE</x:v>
      </x:c>
      <x:c r="C49" t="str">
        <x:v>2026-07</x:v>
      </x:c>
      <x:c r="D49" s="26" t="n">
        <x:v>1.496</x:v>
      </x:c>
      <x:c r="E49" s="26" t="n">
        <x:v>18.739</x:v>
      </x:c>
      <x:c r="F49" s="26" t="n">
        <x:v>20.235</x:v>
      </x:c>
      <x:c r="G49" t="n">
        <x:v>0</x:v>
      </x:c>
      <x:c r="H49" t="n">
        <x:v>0</x:v>
      </x:c>
      <x:c r="I49" t="n">
        <x:v>0</x:v>
      </x:c>
      <x:c r="J49" s="28" t="n">
        <x:v>89760</x:v>
      </x:c>
      <x:c r="K49" s="28" t="n">
        <x:v>0</x:v>
      </x:c>
      <x:c r="L49" t="n">
        <x:v>0</x:v>
      </x:c>
      <x:c r="M49" t="str">
        <x:v>SINTETICO</x:v>
      </x:c>
    </x:row>
    <x:row r="50">
      <x:c r="A50" t="str">
        <x:v>CASO-0025-as_is</x:v>
      </x:c>
      <x:c r="B50" t="str">
        <x:v>AS-IS</x:v>
      </x:c>
      <x:c r="C50" t="str">
        <x:v>2026-07</x:v>
      </x:c>
      <x:c r="D50" s="26" t="n">
        <x:v>2.793</x:v>
      </x:c>
      <x:c r="E50" s="26" t="n">
        <x:v>44.481</x:v>
      </x:c>
      <x:c r="F50" s="26" t="n">
        <x:v>47.274</x:v>
      </x:c>
      <x:c r="G50" t="n">
        <x:v>0</x:v>
      </x:c>
      <x:c r="H50" t="n">
        <x:v>1</x:v>
      </x:c>
      <x:c r="I50" t="n">
        <x:v>0</x:v>
      </x:c>
      <x:c r="J50" s="28" t="n">
        <x:v>167580</x:v>
      </x:c>
      <x:c r="K50" s="28" t="n">
        <x:v>0</x:v>
      </x:c>
      <x:c r="L50" t="n">
        <x:v>1</x:v>
      </x:c>
      <x:c r="M50" t="str">
        <x:v>SINTETICO</x:v>
      </x:c>
    </x:row>
    <x:row r="51">
      <x:c r="A51" t="str">
        <x:v>CASO-0025-to_be</x:v>
      </x:c>
      <x:c r="B51" t="str">
        <x:v>TO-BE</x:v>
      </x:c>
      <x:c r="C51" t="str">
        <x:v>2026-07</x:v>
      </x:c>
      <x:c r="D51" s="26" t="n">
        <x:v>1.034</x:v>
      </x:c>
      <x:c r="E51" s="26" t="n">
        <x:v>19.248</x:v>
      </x:c>
      <x:c r="F51" s="26" t="n">
        <x:v>20.282</x:v>
      </x:c>
      <x:c r="G51" t="n">
        <x:v>0</x:v>
      </x:c>
      <x:c r="H51" t="n">
        <x:v>0</x:v>
      </x:c>
      <x:c r="I51" t="n">
        <x:v>0</x:v>
      </x:c>
      <x:c r="J51" s="28" t="n">
        <x:v>62040</x:v>
      </x:c>
      <x:c r="K51" s="28" t="n">
        <x:v>0</x:v>
      </x:c>
      <x:c r="L51" t="n">
        <x:v>1</x:v>
      </x:c>
      <x:c r="M51" t="str">
        <x:v>SINTETICO</x:v>
      </x:c>
    </x:row>
    <x:row r="52">
      <x:c r="A52" t="str">
        <x:v>CASO-0026-as_is</x:v>
      </x:c>
      <x:c r="B52" t="str">
        <x:v>AS-IS</x:v>
      </x:c>
      <x:c r="C52" t="str">
        <x:v>2026-07</x:v>
      </x:c>
      <x:c r="D52" s="26" t="n">
        <x:v>3.382</x:v>
      </x:c>
      <x:c r="E52" s="26" t="n">
        <x:v>64.947</x:v>
      </x:c>
      <x:c r="F52" s="26" t="n">
        <x:v>68.329</x:v>
      </x:c>
      <x:c r="G52" t="n">
        <x:v>0</x:v>
      </x:c>
      <x:c r="H52" t="n">
        <x:v>0</x:v>
      </x:c>
      <x:c r="I52" t="n">
        <x:v>0</x:v>
      </x:c>
      <x:c r="J52" s="28" t="n">
        <x:v>202920</x:v>
      </x:c>
      <x:c r="K52" s="28" t="n">
        <x:v>0</x:v>
      </x:c>
      <x:c r="L52" t="n">
        <x:v>0</x:v>
      </x:c>
      <x:c r="M52" t="str">
        <x:v>SINTETICO</x:v>
      </x:c>
    </x:row>
    <x:row r="53">
      <x:c r="A53" t="str">
        <x:v>CASO-0026-to_be</x:v>
      </x:c>
      <x:c r="B53" t="str">
        <x:v>TO-BE</x:v>
      </x:c>
      <x:c r="C53" t="str">
        <x:v>2026-07</x:v>
      </x:c>
      <x:c r="D53" s="26" t="n">
        <x:v>1.224</x:v>
      </x:c>
      <x:c r="E53" s="26" t="n">
        <x:v>25.796</x:v>
      </x:c>
      <x:c r="F53" s="26" t="n">
        <x:v>27.02</x:v>
      </x:c>
      <x:c r="G53" t="n">
        <x:v>0</x:v>
      </x:c>
      <x:c r="H53" t="n">
        <x:v>0</x:v>
      </x:c>
      <x:c r="I53" t="n">
        <x:v>0</x:v>
      </x:c>
      <x:c r="J53" s="28" t="n">
        <x:v>73440</x:v>
      </x:c>
      <x:c r="K53" s="28" t="n">
        <x:v>0</x:v>
      </x:c>
      <x:c r="L53" t="n">
        <x:v>0</x:v>
      </x:c>
      <x:c r="M53" t="str">
        <x:v>SINTETICO</x:v>
      </x:c>
    </x:row>
    <x:row r="54">
      <x:c r="A54" t="str">
        <x:v>CASO-0027-as_is</x:v>
      </x:c>
      <x:c r="B54" t="str">
        <x:v>AS-IS</x:v>
      </x:c>
      <x:c r="C54" t="str">
        <x:v>2026-07</x:v>
      </x:c>
      <x:c r="D54" s="26" t="n">
        <x:v>3.057</x:v>
      </x:c>
      <x:c r="E54" s="26" t="n">
        <x:v>44.06</x:v>
      </x:c>
      <x:c r="F54" s="26" t="n">
        <x:v>47.117</x:v>
      </x:c>
      <x:c r="G54" t="n">
        <x:v>0</x:v>
      </x:c>
      <x:c r="H54" t="n">
        <x:v>1</x:v>
      </x:c>
      <x:c r="I54" t="n">
        <x:v>0</x:v>
      </x:c>
      <x:c r="J54" s="28" t="n">
        <x:v>183420</x:v>
      </x:c>
      <x:c r="K54" s="28" t="n">
        <x:v>0</x:v>
      </x:c>
      <x:c r="L54" t="n">
        <x:v>0</x:v>
      </x:c>
      <x:c r="M54" t="str">
        <x:v>SINTETICO</x:v>
      </x:c>
    </x:row>
    <x:row r="55">
      <x:c r="A55" t="str">
        <x:v>CASO-0027-to_be</x:v>
      </x:c>
      <x:c r="B55" t="str">
        <x:v>TO-BE</x:v>
      </x:c>
      <x:c r="C55" t="str">
        <x:v>2026-07</x:v>
      </x:c>
      <x:c r="D55" s="26" t="n">
        <x:v>1.158</x:v>
      </x:c>
      <x:c r="E55" s="26" t="n">
        <x:v>19.519</x:v>
      </x:c>
      <x:c r="F55" s="26" t="n">
        <x:v>20.677</x:v>
      </x:c>
      <x:c r="G55" t="n">
        <x:v>1</x:v>
      </x:c>
      <x:c r="H55" t="n">
        <x:v>0</x:v>
      </x:c>
      <x:c r="I55" t="n">
        <x:v>1</x:v>
      </x:c>
      <x:c r="J55" s="28" t="n">
        <x:v>69480</x:v>
      </x:c>
      <x:c r="K55" s="28" t="n">
        <x:v>70000</x:v>
      </x:c>
      <x:c r="L55" t="n">
        <x:v>0</x:v>
      </x:c>
      <x:c r="M55" t="str">
        <x:v>SINTETICO</x:v>
      </x:c>
    </x:row>
    <x:row r="56">
      <x:c r="A56" t="str">
        <x:v>CASO-0028-as_is</x:v>
      </x:c>
      <x:c r="B56" t="str">
        <x:v>AS-IS</x:v>
      </x:c>
      <x:c r="C56" t="str">
        <x:v>2026-07</x:v>
      </x:c>
      <x:c r="D56" s="26" t="n">
        <x:v>2.143</x:v>
      </x:c>
      <x:c r="E56" s="26" t="n">
        <x:v>32.767</x:v>
      </x:c>
      <x:c r="F56" s="26" t="n">
        <x:v>34.91</x:v>
      </x:c>
      <x:c r="G56" t="n">
        <x:v>0</x:v>
      </x:c>
      <x:c r="H56" t="n">
        <x:v>0</x:v>
      </x:c>
      <x:c r="I56" t="n">
        <x:v>0</x:v>
      </x:c>
      <x:c r="J56" s="28" t="n">
        <x:v>128580</x:v>
      </x:c>
      <x:c r="K56" s="28" t="n">
        <x:v>0</x:v>
      </x:c>
      <x:c r="L56" t="n">
        <x:v>1</x:v>
      </x:c>
      <x:c r="M56" t="str">
        <x:v>SINTETICO</x:v>
      </x:c>
    </x:row>
    <x:row r="57">
      <x:c r="A57" t="str">
        <x:v>CASO-0028-to_be</x:v>
      </x:c>
      <x:c r="B57" t="str">
        <x:v>TO-BE</x:v>
      </x:c>
      <x:c r="C57" t="str">
        <x:v>2026-07</x:v>
      </x:c>
      <x:c r="D57" s="26" t="n">
        <x:v>0.902</x:v>
      </x:c>
      <x:c r="E57" s="26" t="n">
        <x:v>13.01</x:v>
      </x:c>
      <x:c r="F57" s="26" t="n">
        <x:v>13.912</x:v>
      </x:c>
      <x:c r="G57" t="n">
        <x:v>0</x:v>
      </x:c>
      <x:c r="H57" t="n">
        <x:v>0</x:v>
      </x:c>
      <x:c r="I57" t="n">
        <x:v>1</x:v>
      </x:c>
      <x:c r="J57" s="28" t="n">
        <x:v>54120</x:v>
      </x:c>
      <x:c r="K57" s="28" t="n">
        <x:v>0</x:v>
      </x:c>
      <x:c r="L57" t="n">
        <x:v>1</x:v>
      </x:c>
      <x:c r="M57" t="str">
        <x:v>SINTETICO</x:v>
      </x:c>
    </x:row>
    <x:row r="58">
      <x:c r="A58" t="str">
        <x:v>CASO-0029-as_is</x:v>
      </x:c>
      <x:c r="B58" t="str">
        <x:v>AS-IS</x:v>
      </x:c>
      <x:c r="C58" t="str">
        <x:v>2026-07</x:v>
      </x:c>
      <x:c r="D58" s="26" t="n">
        <x:v>3.669</x:v>
      </x:c>
      <x:c r="E58" s="26" t="n">
        <x:v>43.863</x:v>
      </x:c>
      <x:c r="F58" s="26" t="n">
        <x:v>47.532</x:v>
      </x:c>
      <x:c r="G58" t="n">
        <x:v>1</x:v>
      </x:c>
      <x:c r="H58" t="n">
        <x:v>0</x:v>
      </x:c>
      <x:c r="I58" t="n">
        <x:v>0</x:v>
      </x:c>
      <x:c r="J58" s="28" t="n">
        <x:v>220140</x:v>
      </x:c>
      <x:c r="K58" s="28" t="n">
        <x:v>70000</x:v>
      </x:c>
      <x:c r="L58" t="n">
        <x:v>0</x:v>
      </x:c>
      <x:c r="M58" t="str">
        <x:v>SINTETICO</x:v>
      </x:c>
    </x:row>
    <x:row r="59">
      <x:c r="A59" t="str">
        <x:v>CASO-0029-to_be</x:v>
      </x:c>
      <x:c r="B59" t="str">
        <x:v>TO-BE</x:v>
      </x:c>
      <x:c r="C59" t="str">
        <x:v>2026-07</x:v>
      </x:c>
      <x:c r="D59" s="26" t="n">
        <x:v>1.238</x:v>
      </x:c>
      <x:c r="E59" s="26" t="n">
        <x:v>28.914</x:v>
      </x:c>
      <x:c r="F59" s="26" t="n">
        <x:v>30.152</x:v>
      </x:c>
      <x:c r="G59" t="n">
        <x:v>0</x:v>
      </x:c>
      <x:c r="H59" t="n">
        <x:v>0</x:v>
      </x:c>
      <x:c r="I59" t="n">
        <x:v>1</x:v>
      </x:c>
      <x:c r="J59" s="28" t="n">
        <x:v>74280</x:v>
      </x:c>
      <x:c r="K59" s="28" t="n">
        <x:v>0</x:v>
      </x:c>
      <x:c r="L59" t="n">
        <x:v>0</x:v>
      </x:c>
      <x:c r="M59" t="str">
        <x:v>SINTETICO</x:v>
      </x:c>
    </x:row>
    <x:row r="60">
      <x:c r="A60" t="str">
        <x:v>CASO-0030-as_is</x:v>
      </x:c>
      <x:c r="B60" t="str">
        <x:v>AS-IS</x:v>
      </x:c>
      <x:c r="C60" t="str">
        <x:v>2026-07</x:v>
      </x:c>
      <x:c r="D60" s="26" t="n">
        <x:v>3.023</x:v>
      </x:c>
      <x:c r="E60" s="26" t="n">
        <x:v>53.371</x:v>
      </x:c>
      <x:c r="F60" s="26" t="n">
        <x:v>56.394</x:v>
      </x:c>
      <x:c r="G60" t="n">
        <x:v>0</x:v>
      </x:c>
      <x:c r="H60" t="n">
        <x:v>0</x:v>
      </x:c>
      <x:c r="I60" t="n">
        <x:v>0</x:v>
      </x:c>
      <x:c r="J60" s="28" t="n">
        <x:v>181380</x:v>
      </x:c>
      <x:c r="K60" s="28" t="n">
        <x:v>0</x:v>
      </x:c>
      <x:c r="L60" t="n">
        <x:v>1</x:v>
      </x:c>
      <x:c r="M60" t="str">
        <x:v>SINTETICO</x:v>
      </x:c>
    </x:row>
    <x:row r="61">
      <x:c r="A61" t="str">
        <x:v>CASO-0030-to_be</x:v>
      </x:c>
      <x:c r="B61" t="str">
        <x:v>TO-BE</x:v>
      </x:c>
      <x:c r="C61" t="str">
        <x:v>2026-07</x:v>
      </x:c>
      <x:c r="D61" s="26" t="n">
        <x:v>1.417</x:v>
      </x:c>
      <x:c r="E61" s="26" t="n">
        <x:v>20.392</x:v>
      </x:c>
      <x:c r="F61" s="26" t="n">
        <x:v>21.809</x:v>
      </x:c>
      <x:c r="G61" t="n">
        <x:v>0</x:v>
      </x:c>
      <x:c r="H61" t="n">
        <x:v>0</x:v>
      </x:c>
      <x:c r="I61" t="n">
        <x:v>1</x:v>
      </x:c>
      <x:c r="J61" s="28" t="n">
        <x:v>85020</x:v>
      </x:c>
      <x:c r="K61" s="28" t="n">
        <x:v>0</x:v>
      </x:c>
      <x:c r="L61" t="n">
        <x:v>1</x:v>
      </x:c>
      <x:c r="M61" t="str">
        <x:v>SINTETICO</x:v>
      </x:c>
    </x:row>
    <x:row r="62">
      <x:c r="A62" t="str">
        <x:v>CASO-0031-as_is</x:v>
      </x:c>
      <x:c r="B62" t="str">
        <x:v>AS-IS</x:v>
      </x:c>
      <x:c r="C62" t="str">
        <x:v>2026-07</x:v>
      </x:c>
      <x:c r="D62" s="26" t="n">
        <x:v>2.11</x:v>
      </x:c>
      <x:c r="E62" s="26" t="n">
        <x:v>32.293</x:v>
      </x:c>
      <x:c r="F62" s="26" t="n">
        <x:v>34.403</x:v>
      </x:c>
      <x:c r="G62" t="n">
        <x:v>0</x:v>
      </x:c>
      <x:c r="H62" t="n">
        <x:v>1</x:v>
      </x:c>
      <x:c r="I62" t="n">
        <x:v>0</x:v>
      </x:c>
      <x:c r="J62" s="28" t="n">
        <x:v>126600</x:v>
      </x:c>
      <x:c r="K62" s="28" t="n">
        <x:v>0</x:v>
      </x:c>
      <x:c r="L62" t="n">
        <x:v>0</x:v>
      </x:c>
      <x:c r="M62" t="str">
        <x:v>SINTETICO</x:v>
      </x:c>
    </x:row>
    <x:row r="63">
      <x:c r="A63" t="str">
        <x:v>CASO-0031-to_be</x:v>
      </x:c>
      <x:c r="B63" t="str">
        <x:v>TO-BE</x:v>
      </x:c>
      <x:c r="C63" t="str">
        <x:v>2026-07</x:v>
      </x:c>
      <x:c r="D63" s="26" t="n">
        <x:v>0.983</x:v>
      </x:c>
      <x:c r="E63" s="26" t="n">
        <x:v>14.938</x:v>
      </x:c>
      <x:c r="F63" s="26" t="n">
        <x:v>15.921</x:v>
      </x:c>
      <x:c r="G63" t="n">
        <x:v>0</x:v>
      </x:c>
      <x:c r="H63" t="n">
        <x:v>0</x:v>
      </x:c>
      <x:c r="I63" t="n">
        <x:v>1</x:v>
      </x:c>
      <x:c r="J63" s="28" t="n">
        <x:v>58980</x:v>
      </x:c>
      <x:c r="K63" s="28" t="n">
        <x:v>0</x:v>
      </x:c>
      <x:c r="L63" t="n">
        <x:v>0</x:v>
      </x:c>
      <x:c r="M63" t="str">
        <x:v>SINTETICO</x:v>
      </x:c>
    </x:row>
    <x:row r="64">
      <x:c r="A64" t="str">
        <x:v>CASO-0032-as_is</x:v>
      </x:c>
      <x:c r="B64" t="str">
        <x:v>AS-IS</x:v>
      </x:c>
      <x:c r="C64" t="str">
        <x:v>2026-07</x:v>
      </x:c>
      <x:c r="D64" s="26" t="n">
        <x:v>2.939</x:v>
      </x:c>
      <x:c r="E64" s="26" t="n">
        <x:v>50.546</x:v>
      </x:c>
      <x:c r="F64" s="26" t="n">
        <x:v>53.485</x:v>
      </x:c>
      <x:c r="G64" t="n">
        <x:v>0</x:v>
      </x:c>
      <x:c r="H64" t="n">
        <x:v>0</x:v>
      </x:c>
      <x:c r="I64" t="n">
        <x:v>1</x:v>
      </x:c>
      <x:c r="J64" s="28" t="n">
        <x:v>176340</x:v>
      </x:c>
      <x:c r="K64" s="28" t="n">
        <x:v>0</x:v>
      </x:c>
      <x:c r="L64" t="n">
        <x:v>0</x:v>
      </x:c>
      <x:c r="M64" t="str">
        <x:v>SINTETICO</x:v>
      </x:c>
    </x:row>
    <x:row r="65">
      <x:c r="A65" t="str">
        <x:v>CASO-0032-to_be</x:v>
      </x:c>
      <x:c r="B65" t="str">
        <x:v>TO-BE</x:v>
      </x:c>
      <x:c r="C65" t="str">
        <x:v>2026-07</x:v>
      </x:c>
      <x:c r="D65" s="26" t="n">
        <x:v>0.992</x:v>
      </x:c>
      <x:c r="E65" s="26" t="n">
        <x:v>23.339</x:v>
      </x:c>
      <x:c r="F65" s="26" t="n">
        <x:v>24.331</x:v>
      </x:c>
      <x:c r="G65" t="n">
        <x:v>0</x:v>
      </x:c>
      <x:c r="H65" t="n">
        <x:v>0</x:v>
      </x:c>
      <x:c r="I65" t="n">
        <x:v>1</x:v>
      </x:c>
      <x:c r="J65" s="28" t="n">
        <x:v>59520</x:v>
      </x:c>
      <x:c r="K65" s="28" t="n">
        <x:v>0</x:v>
      </x:c>
      <x:c r="L65" t="n">
        <x:v>0</x:v>
      </x:c>
      <x:c r="M65" t="str">
        <x:v>SINTETICO</x:v>
      </x:c>
    </x:row>
    <x:row r="66">
      <x:c r="A66" t="str">
        <x:v>CASO-0033-as_is</x:v>
      </x:c>
      <x:c r="B66" t="str">
        <x:v>AS-IS</x:v>
      </x:c>
      <x:c r="C66" t="str">
        <x:v>2026-07</x:v>
      </x:c>
      <x:c r="D66" s="26" t="n">
        <x:v>2.496</x:v>
      </x:c>
      <x:c r="E66" s="26" t="n">
        <x:v>48.217</x:v>
      </x:c>
      <x:c r="F66" s="26" t="n">
        <x:v>50.713</x:v>
      </x:c>
      <x:c r="G66" t="n">
        <x:v>0</x:v>
      </x:c>
      <x:c r="H66" t="n">
        <x:v>0</x:v>
      </x:c>
      <x:c r="I66" t="n">
        <x:v>0</x:v>
      </x:c>
      <x:c r="J66" s="28" t="n">
        <x:v>149760</x:v>
      </x:c>
      <x:c r="K66" s="28" t="n">
        <x:v>0</x:v>
      </x:c>
      <x:c r="L66" t="n">
        <x:v>0</x:v>
      </x:c>
      <x:c r="M66" t="str">
        <x:v>SINTETICO</x:v>
      </x:c>
    </x:row>
    <x:row r="67">
      <x:c r="A67" t="str">
        <x:v>CASO-0033-to_be</x:v>
      </x:c>
      <x:c r="B67" t="str">
        <x:v>TO-BE</x:v>
      </x:c>
      <x:c r="C67" t="str">
        <x:v>2026-07</x:v>
      </x:c>
      <x:c r="D67" s="26" t="n">
        <x:v>1.027</x:v>
      </x:c>
      <x:c r="E67" s="26" t="n">
        <x:v>22.29</x:v>
      </x:c>
      <x:c r="F67" s="26" t="n">
        <x:v>23.317</x:v>
      </x:c>
      <x:c r="G67" t="n">
        <x:v>0</x:v>
      </x:c>
      <x:c r="H67" t="n">
        <x:v>0</x:v>
      </x:c>
      <x:c r="I67" t="n">
        <x:v>0</x:v>
      </x:c>
      <x:c r="J67" s="28" t="n">
        <x:v>61620</x:v>
      </x:c>
      <x:c r="K67" s="28" t="n">
        <x:v>0</x:v>
      </x:c>
      <x:c r="L67" t="n">
        <x:v>0</x:v>
      </x:c>
      <x:c r="M67" t="str">
        <x:v>SINTETICO</x:v>
      </x:c>
    </x:row>
    <x:row r="68">
      <x:c r="A68" t="str">
        <x:v>CASO-0034-as_is</x:v>
      </x:c>
      <x:c r="B68" t="str">
        <x:v>AS-IS</x:v>
      </x:c>
      <x:c r="C68" t="str">
        <x:v>2026-07</x:v>
      </x:c>
      <x:c r="D68" s="26" t="n">
        <x:v>2.268</x:v>
      </x:c>
      <x:c r="E68" s="26" t="n">
        <x:v>42.04</x:v>
      </x:c>
      <x:c r="F68" s="26" t="n">
        <x:v>44.308</x:v>
      </x:c>
      <x:c r="G68" t="n">
        <x:v>1</x:v>
      </x:c>
      <x:c r="H68" t="n">
        <x:v>0</x:v>
      </x:c>
      <x:c r="I68" t="n">
        <x:v>0</x:v>
      </x:c>
      <x:c r="J68" s="28" t="n">
        <x:v>136080</x:v>
      </x:c>
      <x:c r="K68" s="28" t="n">
        <x:v>70000</x:v>
      </x:c>
      <x:c r="L68" t="n">
        <x:v>0</x:v>
      </x:c>
      <x:c r="M68" t="str">
        <x:v>SINTETICO</x:v>
      </x:c>
    </x:row>
    <x:row r="69">
      <x:c r="A69" t="str">
        <x:v>CASO-0034-to_be</x:v>
      </x:c>
      <x:c r="B69" t="str">
        <x:v>TO-BE</x:v>
      </x:c>
      <x:c r="C69" t="str">
        <x:v>2026-07</x:v>
      </x:c>
      <x:c r="D69" s="26" t="n">
        <x:v>1.066</x:v>
      </x:c>
      <x:c r="E69" s="26" t="n">
        <x:v>16.845</x:v>
      </x:c>
      <x:c r="F69" s="26" t="n">
        <x:v>17.911</x:v>
      </x:c>
      <x:c r="G69" t="n">
        <x:v>0</x:v>
      </x:c>
      <x:c r="H69" t="n">
        <x:v>1</x:v>
      </x:c>
      <x:c r="I69" t="n">
        <x:v>1</x:v>
      </x:c>
      <x:c r="J69" s="28" t="n">
        <x:v>63960</x:v>
      </x:c>
      <x:c r="K69" s="28" t="n">
        <x:v>0</x:v>
      </x:c>
      <x:c r="L69" t="n">
        <x:v>0</x:v>
      </x:c>
      <x:c r="M69" t="str">
        <x:v>SINTETICO</x:v>
      </x:c>
    </x:row>
    <x:row r="70">
      <x:c r="A70" t="str">
        <x:v>CASO-0035-as_is</x:v>
      </x:c>
      <x:c r="B70" t="str">
        <x:v>AS-IS</x:v>
      </x:c>
      <x:c r="C70" t="str">
        <x:v>2026-07</x:v>
      </x:c>
      <x:c r="D70" s="26" t="n">
        <x:v>2.196</x:v>
      </x:c>
      <x:c r="E70" s="26" t="n">
        <x:v>35.269</x:v>
      </x:c>
      <x:c r="F70" s="26" t="n">
        <x:v>37.465</x:v>
      </x:c>
      <x:c r="G70" t="n">
        <x:v>0</x:v>
      </x:c>
      <x:c r="H70" t="n">
        <x:v>0</x:v>
      </x:c>
      <x:c r="I70" t="n">
        <x:v>0</x:v>
      </x:c>
      <x:c r="J70" s="28" t="n">
        <x:v>131760</x:v>
      </x:c>
      <x:c r="K70" s="28" t="n">
        <x:v>0</x:v>
      </x:c>
      <x:c r="L70" t="n">
        <x:v>1</x:v>
      </x:c>
      <x:c r="M70" t="str">
        <x:v>SINTETICO</x:v>
      </x:c>
    </x:row>
    <x:row r="71">
      <x:c r="A71" t="str">
        <x:v>CASO-0035-to_be</x:v>
      </x:c>
      <x:c r="B71" t="str">
        <x:v>TO-BE</x:v>
      </x:c>
      <x:c r="C71" t="str">
        <x:v>2026-07</x:v>
      </x:c>
      <x:c r="D71" s="26" t="n">
        <x:v>0.803</x:v>
      </x:c>
      <x:c r="E71" s="26" t="n">
        <x:v>19.126</x:v>
      </x:c>
      <x:c r="F71" s="26" t="n">
        <x:v>19.929</x:v>
      </x:c>
      <x:c r="G71" t="n">
        <x:v>0</x:v>
      </x:c>
      <x:c r="H71" t="n">
        <x:v>0</x:v>
      </x:c>
      <x:c r="I71" t="n">
        <x:v>0</x:v>
      </x:c>
      <x:c r="J71" s="28" t="n">
        <x:v>48180</x:v>
      </x:c>
      <x:c r="K71" s="28" t="n">
        <x:v>0</x:v>
      </x:c>
      <x:c r="L71" t="n">
        <x:v>1</x:v>
      </x:c>
      <x:c r="M71" t="str">
        <x:v>SINTETICO</x:v>
      </x:c>
    </x:row>
    <x:row r="72">
      <x:c r="A72" t="str">
        <x:v>CASO-0036-as_is</x:v>
      </x:c>
      <x:c r="B72" t="str">
        <x:v>AS-IS</x:v>
      </x:c>
      <x:c r="C72" t="str">
        <x:v>2026-07</x:v>
      </x:c>
      <x:c r="D72" s="26" t="n">
        <x:v>2.47</x:v>
      </x:c>
      <x:c r="E72" s="26" t="n">
        <x:v>26.037</x:v>
      </x:c>
      <x:c r="F72" s="26" t="n">
        <x:v>28.507</x:v>
      </x:c>
      <x:c r="G72" t="n">
        <x:v>0</x:v>
      </x:c>
      <x:c r="H72" t="n">
        <x:v>1</x:v>
      </x:c>
      <x:c r="I72" t="n">
        <x:v>0</x:v>
      </x:c>
      <x:c r="J72" s="28" t="n">
        <x:v>148200</x:v>
      </x:c>
      <x:c r="K72" s="28" t="n">
        <x:v>0</x:v>
      </x:c>
      <x:c r="L72" t="n">
        <x:v>0</x:v>
      </x:c>
      <x:c r="M72" t="str">
        <x:v>SINTETICO</x:v>
      </x:c>
    </x:row>
    <x:row r="73">
      <x:c r="A73" t="str">
        <x:v>CASO-0036-to_be</x:v>
      </x:c>
      <x:c r="B73" t="str">
        <x:v>TO-BE</x:v>
      </x:c>
      <x:c r="C73" t="str">
        <x:v>2026-07</x:v>
      </x:c>
      <x:c r="D73" s="26" t="n">
        <x:v>0.999</x:v>
      </x:c>
      <x:c r="E73" s="26" t="n">
        <x:v>21.05</x:v>
      </x:c>
      <x:c r="F73" s="26" t="n">
        <x:v>22.049</x:v>
      </x:c>
      <x:c r="G73" t="n">
        <x:v>0</x:v>
      </x:c>
      <x:c r="H73" t="n">
        <x:v>0</x:v>
      </x:c>
      <x:c r="I73" t="n">
        <x:v>1</x:v>
      </x:c>
      <x:c r="J73" s="28" t="n">
        <x:v>59940</x:v>
      </x:c>
      <x:c r="K73" s="28" t="n">
        <x:v>0</x:v>
      </x:c>
      <x:c r="L73" t="n">
        <x:v>0</x:v>
      </x:c>
      <x:c r="M73" t="str">
        <x:v>SINTETICO</x:v>
      </x:c>
    </x:row>
    <x:row r="74">
      <x:c r="A74" t="str">
        <x:v>CASO-0037-as_is</x:v>
      </x:c>
      <x:c r="B74" t="str">
        <x:v>AS-IS</x:v>
      </x:c>
      <x:c r="C74" t="str">
        <x:v>2026-07</x:v>
      </x:c>
      <x:c r="D74" s="26" t="n">
        <x:v>1.947</x:v>
      </x:c>
      <x:c r="E74" s="26" t="n">
        <x:v>35.621</x:v>
      </x:c>
      <x:c r="F74" s="26" t="n">
        <x:v>37.568</x:v>
      </x:c>
      <x:c r="G74" t="n">
        <x:v>0</x:v>
      </x:c>
      <x:c r="H74" t="n">
        <x:v>1</x:v>
      </x:c>
      <x:c r="I74" t="n">
        <x:v>0</x:v>
      </x:c>
      <x:c r="J74" s="28" t="n">
        <x:v>116820</x:v>
      </x:c>
      <x:c r="K74" s="28" t="n">
        <x:v>0</x:v>
      </x:c>
      <x:c r="L74" t="n">
        <x:v>0</x:v>
      </x:c>
      <x:c r="M74" t="str">
        <x:v>SINTETICO</x:v>
      </x:c>
    </x:row>
    <x:row r="75">
      <x:c r="A75" t="str">
        <x:v>CASO-0037-to_be</x:v>
      </x:c>
      <x:c r="B75" t="str">
        <x:v>TO-BE</x:v>
      </x:c>
      <x:c r="C75" t="str">
        <x:v>2026-07</x:v>
      </x:c>
      <x:c r="D75" s="26" t="n">
        <x:v>0.992</x:v>
      </x:c>
      <x:c r="E75" s="26" t="n">
        <x:v>18.415</x:v>
      </x:c>
      <x:c r="F75" s="26" t="n">
        <x:v>19.407</x:v>
      </x:c>
      <x:c r="G75" t="n">
        <x:v>1</x:v>
      </x:c>
      <x:c r="H75" t="n">
        <x:v>0</x:v>
      </x:c>
      <x:c r="I75" t="n">
        <x:v>1</x:v>
      </x:c>
      <x:c r="J75" s="28" t="n">
        <x:v>59520</x:v>
      </x:c>
      <x:c r="K75" s="28" t="n">
        <x:v>70000</x:v>
      </x:c>
      <x:c r="L75" t="n">
        <x:v>0</x:v>
      </x:c>
      <x:c r="M75" t="str">
        <x:v>SINTETICO</x:v>
      </x:c>
    </x:row>
    <x:row r="76">
      <x:c r="A76" t="str">
        <x:v>CASO-0038-as_is</x:v>
      </x:c>
      <x:c r="B76" t="str">
        <x:v>AS-IS</x:v>
      </x:c>
      <x:c r="C76" t="str">
        <x:v>2026-07</x:v>
      </x:c>
      <x:c r="D76" s="26" t="n">
        <x:v>2.356</x:v>
      </x:c>
      <x:c r="E76" s="26" t="n">
        <x:v>48.17</x:v>
      </x:c>
      <x:c r="F76" s="26" t="n">
        <x:v>50.526</x:v>
      </x:c>
      <x:c r="G76" t="n">
        <x:v>0</x:v>
      </x:c>
      <x:c r="H76" t="n">
        <x:v>0</x:v>
      </x:c>
      <x:c r="I76" t="n">
        <x:v>1</x:v>
      </x:c>
      <x:c r="J76" s="28" t="n">
        <x:v>141360</x:v>
      </x:c>
      <x:c r="K76" s="28" t="n">
        <x:v>0</x:v>
      </x:c>
      <x:c r="L76" t="n">
        <x:v>0</x:v>
      </x:c>
      <x:c r="M76" t="str">
        <x:v>SINTETICO</x:v>
      </x:c>
    </x:row>
    <x:row r="77">
      <x:c r="A77" t="str">
        <x:v>CASO-0038-to_be</x:v>
      </x:c>
      <x:c r="B77" t="str">
        <x:v>TO-BE</x:v>
      </x:c>
      <x:c r="C77" t="str">
        <x:v>2026-07</x:v>
      </x:c>
      <x:c r="D77" s="26" t="n">
        <x:v>1.152</x:v>
      </x:c>
      <x:c r="E77" s="26" t="n">
        <x:v>19.853</x:v>
      </x:c>
      <x:c r="F77" s="26" t="n">
        <x:v>21.005</x:v>
      </x:c>
      <x:c r="G77" t="n">
        <x:v>0</x:v>
      </x:c>
      <x:c r="H77" t="n">
        <x:v>1</x:v>
      </x:c>
      <x:c r="I77" t="n">
        <x:v>1</x:v>
      </x:c>
      <x:c r="J77" s="28" t="n">
        <x:v>69120</x:v>
      </x:c>
      <x:c r="K77" s="28" t="n">
        <x:v>0</x:v>
      </x:c>
      <x:c r="L77" t="n">
        <x:v>0</x:v>
      </x:c>
      <x:c r="M77" t="str">
        <x:v>SINTETICO</x:v>
      </x:c>
    </x:row>
    <x:row r="78">
      <x:c r="A78" t="str">
        <x:v>CASO-0039-as_is</x:v>
      </x:c>
      <x:c r="B78" t="str">
        <x:v>AS-IS</x:v>
      </x:c>
      <x:c r="C78" t="str">
        <x:v>2026-07</x:v>
      </x:c>
      <x:c r="D78" s="26" t="n">
        <x:v>3.95</x:v>
      </x:c>
      <x:c r="E78" s="26" t="n">
        <x:v>41.067</x:v>
      </x:c>
      <x:c r="F78" s="26" t="n">
        <x:v>45.017</x:v>
      </x:c>
      <x:c r="G78" t="n">
        <x:v>0</x:v>
      </x:c>
      <x:c r="H78" t="n">
        <x:v>0</x:v>
      </x:c>
      <x:c r="I78" t="n">
        <x:v>0</x:v>
      </x:c>
      <x:c r="J78" s="28" t="n">
        <x:v>237000</x:v>
      </x:c>
      <x:c r="K78" s="28" t="n">
        <x:v>0</x:v>
      </x:c>
      <x:c r="L78" t="n">
        <x:v>0</x:v>
      </x:c>
      <x:c r="M78" t="str">
        <x:v>SINTETICO</x:v>
      </x:c>
    </x:row>
    <x:row r="79">
      <x:c r="A79" t="str">
        <x:v>CASO-0039-to_be</x:v>
      </x:c>
      <x:c r="B79" t="str">
        <x:v>TO-BE</x:v>
      </x:c>
      <x:c r="C79" t="str">
        <x:v>2026-07</x:v>
      </x:c>
      <x:c r="D79" s="26" t="n">
        <x:v>1.293</x:v>
      </x:c>
      <x:c r="E79" s="26" t="n">
        <x:v>31.226</x:v>
      </x:c>
      <x:c r="F79" s="26" t="n">
        <x:v>32.519</x:v>
      </x:c>
      <x:c r="G79" t="n">
        <x:v>0</x:v>
      </x:c>
      <x:c r="H79" t="n">
        <x:v>0</x:v>
      </x:c>
      <x:c r="I79" t="n">
        <x:v>1</x:v>
      </x:c>
      <x:c r="J79" s="28" t="n">
        <x:v>77580</x:v>
      </x:c>
      <x:c r="K79" s="28" t="n">
        <x:v>0</x:v>
      </x:c>
      <x:c r="L79" t="n">
        <x:v>0</x:v>
      </x:c>
      <x:c r="M79" t="str">
        <x:v>SINTETICO</x:v>
      </x:c>
    </x:row>
    <x:row r="80">
      <x:c r="A80" t="str">
        <x:v>CASO-0040-as_is</x:v>
      </x:c>
      <x:c r="B80" t="str">
        <x:v>AS-IS</x:v>
      </x:c>
      <x:c r="C80" t="str">
        <x:v>2026-07</x:v>
      </x:c>
      <x:c r="D80" s="26" t="n">
        <x:v>2.941</x:v>
      </x:c>
      <x:c r="E80" s="26" t="n">
        <x:v>54.409</x:v>
      </x:c>
      <x:c r="F80" s="26" t="n">
        <x:v>57.35</x:v>
      </x:c>
      <x:c r="G80" t="n">
        <x:v>0</x:v>
      </x:c>
      <x:c r="H80" t="n">
        <x:v>0</x:v>
      </x:c>
      <x:c r="I80" t="n">
        <x:v>0</x:v>
      </x:c>
      <x:c r="J80" s="28" t="n">
        <x:v>176460</x:v>
      </x:c>
      <x:c r="K80" s="28" t="n">
        <x:v>0</x:v>
      </x:c>
      <x:c r="L80" t="n">
        <x:v>0</x:v>
      </x:c>
      <x:c r="M80" t="str">
        <x:v>SINTETICO</x:v>
      </x:c>
    </x:row>
    <x:row r="81">
      <x:c r="A81" t="str">
        <x:v>CASO-0040-to_be</x:v>
      </x:c>
      <x:c r="B81" t="str">
        <x:v>TO-BE</x:v>
      </x:c>
      <x:c r="C81" t="str">
        <x:v>2026-07</x:v>
      </x:c>
      <x:c r="D81" s="26" t="n">
        <x:v>1.271</x:v>
      </x:c>
      <x:c r="E81" s="26" t="n">
        <x:v>19.356</x:v>
      </x:c>
      <x:c r="F81" s="26" t="n">
        <x:v>20.627</x:v>
      </x:c>
      <x:c r="G81" t="n">
        <x:v>0</x:v>
      </x:c>
      <x:c r="H81" t="n">
        <x:v>0</x:v>
      </x:c>
      <x:c r="I81" t="n">
        <x:v>1</x:v>
      </x:c>
      <x:c r="J81" s="28" t="n">
        <x:v>76260</x:v>
      </x:c>
      <x:c r="K81" s="28" t="n">
        <x:v>0</x:v>
      </x:c>
      <x:c r="L81" t="n">
        <x:v>0</x:v>
      </x:c>
      <x:c r="M81" t="str">
        <x:v>SINTETICO</x:v>
      </x:c>
    </x:row>
    <x:row r="82">
      <x:c r="A82" t="str">
        <x:v>CASO-0041-as_is</x:v>
      </x:c>
      <x:c r="B82" t="str">
        <x:v>AS-IS</x:v>
      </x:c>
      <x:c r="C82" t="str">
        <x:v>2026-07</x:v>
      </x:c>
      <x:c r="D82" s="26" t="n">
        <x:v>2.805</x:v>
      </x:c>
      <x:c r="E82" s="26" t="n">
        <x:v>36.676</x:v>
      </x:c>
      <x:c r="F82" s="26" t="n">
        <x:v>39.481</x:v>
      </x:c>
      <x:c r="G82" t="n">
        <x:v>0</x:v>
      </x:c>
      <x:c r="H82" t="n">
        <x:v>1</x:v>
      </x:c>
      <x:c r="I82" t="n">
        <x:v>0</x:v>
      </x:c>
      <x:c r="J82" s="28" t="n">
        <x:v>168300</x:v>
      </x:c>
      <x:c r="K82" s="28" t="n">
        <x:v>0</x:v>
      </x:c>
      <x:c r="L82" t="n">
        <x:v>0</x:v>
      </x:c>
      <x:c r="M82" t="str">
        <x:v>SINTETICO</x:v>
      </x:c>
    </x:row>
    <x:row r="83">
      <x:c r="A83" t="str">
        <x:v>CASO-0041-to_be</x:v>
      </x:c>
      <x:c r="B83" t="str">
        <x:v>TO-BE</x:v>
      </x:c>
      <x:c r="C83" t="str">
        <x:v>2026-07</x:v>
      </x:c>
      <x:c r="D83" s="26" t="n">
        <x:v>1.163</x:v>
      </x:c>
      <x:c r="E83" s="26" t="n">
        <x:v>16.73</x:v>
      </x:c>
      <x:c r="F83" s="26" t="n">
        <x:v>17.893</x:v>
      </x:c>
      <x:c r="G83" t="n">
        <x:v>0</x:v>
      </x:c>
      <x:c r="H83" t="n">
        <x:v>0</x:v>
      </x:c>
      <x:c r="I83" t="n">
        <x:v>1</x:v>
      </x:c>
      <x:c r="J83" s="28" t="n">
        <x:v>69780</x:v>
      </x:c>
      <x:c r="K83" s="28" t="n">
        <x:v>0</x:v>
      </x:c>
      <x:c r="L83" t="n">
        <x:v>0</x:v>
      </x:c>
      <x:c r="M83" t="str">
        <x:v>SINTETICO</x:v>
      </x:c>
    </x:row>
    <x:row r="84">
      <x:c r="A84" t="str">
        <x:v>CASO-0042-as_is</x:v>
      </x:c>
      <x:c r="B84" t="str">
        <x:v>AS-IS</x:v>
      </x:c>
      <x:c r="C84" t="str">
        <x:v>2026-07</x:v>
      </x:c>
      <x:c r="D84" s="26" t="n">
        <x:v>2.426</x:v>
      </x:c>
      <x:c r="E84" s="26" t="n">
        <x:v>33.985</x:v>
      </x:c>
      <x:c r="F84" s="26" t="n">
        <x:v>36.411</x:v>
      </x:c>
      <x:c r="G84" t="n">
        <x:v>0</x:v>
      </x:c>
      <x:c r="H84" t="n">
        <x:v>0</x:v>
      </x:c>
      <x:c r="I84" t="n">
        <x:v>0</x:v>
      </x:c>
      <x:c r="J84" s="28" t="n">
        <x:v>145560</x:v>
      </x:c>
      <x:c r="K84" s="28" t="n">
        <x:v>0</x:v>
      </x:c>
      <x:c r="L84" t="n">
        <x:v>0</x:v>
      </x:c>
      <x:c r="M84" t="str">
        <x:v>SINTETICO</x:v>
      </x:c>
    </x:row>
    <x:row r="85">
      <x:c r="A85" t="str">
        <x:v>CASO-0042-to_be</x:v>
      </x:c>
      <x:c r="B85" t="str">
        <x:v>TO-BE</x:v>
      </x:c>
      <x:c r="C85" t="str">
        <x:v>2026-07</x:v>
      </x:c>
      <x:c r="D85" s="26" t="n">
        <x:v>1.238</x:v>
      </x:c>
      <x:c r="E85" s="26" t="n">
        <x:v>18.486</x:v>
      </x:c>
      <x:c r="F85" s="26" t="n">
        <x:v>19.724</x:v>
      </x:c>
      <x:c r="G85" t="n">
        <x:v>0</x:v>
      </x:c>
      <x:c r="H85" t="n">
        <x:v>0</x:v>
      </x:c>
      <x:c r="I85" t="n">
        <x:v>1</x:v>
      </x:c>
      <x:c r="J85" s="28" t="n">
        <x:v>74280</x:v>
      </x:c>
      <x:c r="K85" s="28" t="n">
        <x:v>0</x:v>
      </x:c>
      <x:c r="L85" t="n">
        <x:v>0</x:v>
      </x:c>
      <x:c r="M85" t="str">
        <x:v>SINTETICO</x:v>
      </x:c>
    </x:row>
    <x:row r="86">
      <x:c r="A86" t="str">
        <x:v>CASO-0043-as_is</x:v>
      </x:c>
      <x:c r="B86" t="str">
        <x:v>AS-IS</x:v>
      </x:c>
      <x:c r="C86" t="str">
        <x:v>2026-07</x:v>
      </x:c>
      <x:c r="D86" s="26" t="n">
        <x:v>2.767</x:v>
      </x:c>
      <x:c r="E86" s="26" t="n">
        <x:v>39.024</x:v>
      </x:c>
      <x:c r="F86" s="26" t="n">
        <x:v>41.791</x:v>
      </x:c>
      <x:c r="G86" t="n">
        <x:v>0</x:v>
      </x:c>
      <x:c r="H86" t="n">
        <x:v>0</x:v>
      </x:c>
      <x:c r="I86" t="n">
        <x:v>0</x:v>
      </x:c>
      <x:c r="J86" s="28" t="n">
        <x:v>166020</x:v>
      </x:c>
      <x:c r="K86" s="28" t="n">
        <x:v>0</x:v>
      </x:c>
      <x:c r="L86" t="n">
        <x:v>0</x:v>
      </x:c>
      <x:c r="M86" t="str">
        <x:v>SINTETICO</x:v>
      </x:c>
    </x:row>
    <x:row r="87">
      <x:c r="A87" t="str">
        <x:v>CASO-0043-to_be</x:v>
      </x:c>
      <x:c r="B87" t="str">
        <x:v>TO-BE</x:v>
      </x:c>
      <x:c r="C87" t="str">
        <x:v>2026-07</x:v>
      </x:c>
      <x:c r="D87" s="26" t="n">
        <x:v>0.983</x:v>
      </x:c>
      <x:c r="E87" s="26" t="n">
        <x:v>12.77</x:v>
      </x:c>
      <x:c r="F87" s="26" t="n">
        <x:v>13.753</x:v>
      </x:c>
      <x:c r="G87" t="n">
        <x:v>0</x:v>
      </x:c>
      <x:c r="H87" t="n">
        <x:v>1</x:v>
      </x:c>
      <x:c r="I87" t="n">
        <x:v>0</x:v>
      </x:c>
      <x:c r="J87" s="28" t="n">
        <x:v>58980</x:v>
      </x:c>
      <x:c r="K87" s="28" t="n">
        <x:v>0</x:v>
      </x:c>
      <x:c r="L87" t="n">
        <x:v>0</x:v>
      </x:c>
      <x:c r="M87" t="str">
        <x:v>SINTETICO</x:v>
      </x:c>
    </x:row>
    <x:row r="88">
      <x:c r="A88" t="str">
        <x:v>CASO-0044-as_is</x:v>
      </x:c>
      <x:c r="B88" t="str">
        <x:v>AS-IS</x:v>
      </x:c>
      <x:c r="C88" t="str">
        <x:v>2026-07</x:v>
      </x:c>
      <x:c r="D88" s="26" t="n">
        <x:v>3.125</x:v>
      </x:c>
      <x:c r="E88" s="26" t="n">
        <x:v>60.348</x:v>
      </x:c>
      <x:c r="F88" s="26" t="n">
        <x:v>63.473</x:v>
      </x:c>
      <x:c r="G88" t="n">
        <x:v>0</x:v>
      </x:c>
      <x:c r="H88" t="n">
        <x:v>0</x:v>
      </x:c>
      <x:c r="I88" t="n">
        <x:v>0</x:v>
      </x:c>
      <x:c r="J88" s="28" t="n">
        <x:v>187500</x:v>
      </x:c>
      <x:c r="K88" s="28" t="n">
        <x:v>0</x:v>
      </x:c>
      <x:c r="L88" t="n">
        <x:v>0</x:v>
      </x:c>
      <x:c r="M88" t="str">
        <x:v>SINTETICO</x:v>
      </x:c>
    </x:row>
    <x:row r="89">
      <x:c r="A89" t="str">
        <x:v>CASO-0044-to_be</x:v>
      </x:c>
      <x:c r="B89" t="str">
        <x:v>TO-BE</x:v>
      </x:c>
      <x:c r="C89" t="str">
        <x:v>2026-07</x:v>
      </x:c>
      <x:c r="D89" s="26" t="n">
        <x:v>1.142</x:v>
      </x:c>
      <x:c r="E89" s="26" t="n">
        <x:v>21.154</x:v>
      </x:c>
      <x:c r="F89" s="26" t="n">
        <x:v>22.296</x:v>
      </x:c>
      <x:c r="G89" t="n">
        <x:v>0</x:v>
      </x:c>
      <x:c r="H89" t="n">
        <x:v>0</x:v>
      </x:c>
      <x:c r="I89" t="n">
        <x:v>1</x:v>
      </x:c>
      <x:c r="J89" s="28" t="n">
        <x:v>68520</x:v>
      </x:c>
      <x:c r="K89" s="28" t="n">
        <x:v>0</x:v>
      </x:c>
      <x:c r="L89" t="n">
        <x:v>0</x:v>
      </x:c>
      <x:c r="M89" t="str">
        <x:v>SINTETICO</x:v>
      </x:c>
    </x:row>
    <x:row r="90">
      <x:c r="A90" t="str">
        <x:v>CASO-0045-as_is</x:v>
      </x:c>
      <x:c r="B90" t="str">
        <x:v>AS-IS</x:v>
      </x:c>
      <x:c r="C90" t="str">
        <x:v>2026-07</x:v>
      </x:c>
      <x:c r="D90" s="26" t="n">
        <x:v>3.046</x:v>
      </x:c>
      <x:c r="E90" s="26" t="n">
        <x:v>37.282</x:v>
      </x:c>
      <x:c r="F90" s="26" t="n">
        <x:v>40.328</x:v>
      </x:c>
      <x:c r="G90" t="n">
        <x:v>0</x:v>
      </x:c>
      <x:c r="H90" t="n">
        <x:v>1</x:v>
      </x:c>
      <x:c r="I90" t="n">
        <x:v>1</x:v>
      </x:c>
      <x:c r="J90" s="28" t="n">
        <x:v>182760</x:v>
      </x:c>
      <x:c r="K90" s="28" t="n">
        <x:v>0</x:v>
      </x:c>
      <x:c r="L90" t="n">
        <x:v>0</x:v>
      </x:c>
      <x:c r="M90" t="str">
        <x:v>SINTETICO</x:v>
      </x:c>
    </x:row>
    <x:row r="91">
      <x:c r="A91" t="str">
        <x:v>CASO-0045-to_be</x:v>
      </x:c>
      <x:c r="B91" t="str">
        <x:v>TO-BE</x:v>
      </x:c>
      <x:c r="C91" t="str">
        <x:v>2026-07</x:v>
      </x:c>
      <x:c r="D91" s="26" t="n">
        <x:v>1.355</x:v>
      </x:c>
      <x:c r="E91" s="26" t="n">
        <x:v>18.836</x:v>
      </x:c>
      <x:c r="F91" s="26" t="n">
        <x:v>20.191</x:v>
      </x:c>
      <x:c r="G91" t="n">
        <x:v>0</x:v>
      </x:c>
      <x:c r="H91" t="n">
        <x:v>0</x:v>
      </x:c>
      <x:c r="I91" t="n">
        <x:v>1</x:v>
      </x:c>
      <x:c r="J91" s="28" t="n">
        <x:v>81300</x:v>
      </x:c>
      <x:c r="K91" s="28" t="n">
        <x:v>0</x:v>
      </x:c>
      <x:c r="L91" t="n">
        <x:v>0</x:v>
      </x:c>
      <x:c r="M91" t="str">
        <x:v>SINTETICO</x:v>
      </x:c>
    </x:row>
    <x:row r="92">
      <x:c r="A92" t="str">
        <x:v>CASO-0046-as_is</x:v>
      </x:c>
      <x:c r="B92" t="str">
        <x:v>AS-IS</x:v>
      </x:c>
      <x:c r="C92" t="str">
        <x:v>2026-07</x:v>
      </x:c>
      <x:c r="D92" s="26" t="n">
        <x:v>3.491</x:v>
      </x:c>
      <x:c r="E92" s="26" t="n">
        <x:v>50.418</x:v>
      </x:c>
      <x:c r="F92" s="26" t="n">
        <x:v>53.909</x:v>
      </x:c>
      <x:c r="G92" t="n">
        <x:v>0</x:v>
      </x:c>
      <x:c r="H92" t="n">
        <x:v>1</x:v>
      </x:c>
      <x:c r="I92" t="n">
        <x:v>0</x:v>
      </x:c>
      <x:c r="J92" s="28" t="n">
        <x:v>209460</x:v>
      </x:c>
      <x:c r="K92" s="28" t="n">
        <x:v>0</x:v>
      </x:c>
      <x:c r="L92" t="n">
        <x:v>0</x:v>
      </x:c>
      <x:c r="M92" t="str">
        <x:v>SINTETICO</x:v>
      </x:c>
    </x:row>
    <x:row r="93">
      <x:c r="A93" t="str">
        <x:v>CASO-0046-to_be</x:v>
      </x:c>
      <x:c r="B93" t="str">
        <x:v>TO-BE</x:v>
      </x:c>
      <x:c r="C93" t="str">
        <x:v>2026-07</x:v>
      </x:c>
      <x:c r="D93" s="26" t="n">
        <x:v>1.3</x:v>
      </x:c>
      <x:c r="E93" s="26" t="n">
        <x:v>21.575</x:v>
      </x:c>
      <x:c r="F93" s="26" t="n">
        <x:v>22.875</x:v>
      </x:c>
      <x:c r="G93" t="n">
        <x:v>1</x:v>
      </x:c>
      <x:c r="H93" t="n">
        <x:v>0</x:v>
      </x:c>
      <x:c r="I93" t="n">
        <x:v>1</x:v>
      </x:c>
      <x:c r="J93" s="28" t="n">
        <x:v>78000</x:v>
      </x:c>
      <x:c r="K93" s="28" t="n">
        <x:v>70000</x:v>
      </x:c>
      <x:c r="L93" t="n">
        <x:v>0</x:v>
      </x:c>
      <x:c r="M93" t="str">
        <x:v>SINTETICO</x:v>
      </x:c>
    </x:row>
    <x:row r="94">
      <x:c r="A94" t="str">
        <x:v>CASO-0047-as_is</x:v>
      </x:c>
      <x:c r="B94" t="str">
        <x:v>AS-IS</x:v>
      </x:c>
      <x:c r="C94" t="str">
        <x:v>2026-07</x:v>
      </x:c>
      <x:c r="D94" s="26" t="n">
        <x:v>2.212</x:v>
      </x:c>
      <x:c r="E94" s="26" t="n">
        <x:v>40.531</x:v>
      </x:c>
      <x:c r="F94" s="26" t="n">
        <x:v>42.743</x:v>
      </x:c>
      <x:c r="G94" t="n">
        <x:v>0</x:v>
      </x:c>
      <x:c r="H94" t="n">
        <x:v>0</x:v>
      </x:c>
      <x:c r="I94" t="n">
        <x:v>0</x:v>
      </x:c>
      <x:c r="J94" s="28" t="n">
        <x:v>132720</x:v>
      </x:c>
      <x:c r="K94" s="28" t="n">
        <x:v>0</x:v>
      </x:c>
      <x:c r="L94" t="n">
        <x:v>1</x:v>
      </x:c>
      <x:c r="M94" t="str">
        <x:v>SINTETICO</x:v>
      </x:c>
    </x:row>
    <x:row r="95">
      <x:c r="A95" t="str">
        <x:v>CASO-0047-to_be</x:v>
      </x:c>
      <x:c r="B95" t="str">
        <x:v>TO-BE</x:v>
      </x:c>
      <x:c r="C95" t="str">
        <x:v>2026-07</x:v>
      </x:c>
      <x:c r="D95" s="26" t="n">
        <x:v>0.9</x:v>
      </x:c>
      <x:c r="E95" s="26" t="n">
        <x:v>16.823</x:v>
      </x:c>
      <x:c r="F95" s="26" t="n">
        <x:v>17.723</x:v>
      </x:c>
      <x:c r="G95" t="n">
        <x:v>0</x:v>
      </x:c>
      <x:c r="H95" t="n">
        <x:v>0</x:v>
      </x:c>
      <x:c r="I95" t="n">
        <x:v>1</x:v>
      </x:c>
      <x:c r="J95" s="28" t="n">
        <x:v>54000</x:v>
      </x:c>
      <x:c r="K95" s="28" t="n">
        <x:v>0</x:v>
      </x:c>
      <x:c r="L95" t="n">
        <x:v>1</x:v>
      </x:c>
      <x:c r="M95" t="str">
        <x:v>SINTETICO</x:v>
      </x:c>
    </x:row>
    <x:row r="96">
      <x:c r="A96" t="str">
        <x:v>CASO-0048-as_is</x:v>
      </x:c>
      <x:c r="B96" t="str">
        <x:v>AS-IS</x:v>
      </x:c>
      <x:c r="C96" t="str">
        <x:v>2026-07</x:v>
      </x:c>
      <x:c r="D96" s="26" t="n">
        <x:v>3.86</x:v>
      </x:c>
      <x:c r="E96" s="26" t="n">
        <x:v>39.945</x:v>
      </x:c>
      <x:c r="F96" s="26" t="n">
        <x:v>43.805</x:v>
      </x:c>
      <x:c r="G96" t="n">
        <x:v>0</x:v>
      </x:c>
      <x:c r="H96" t="n">
        <x:v>0</x:v>
      </x:c>
      <x:c r="I96" t="n">
        <x:v>0</x:v>
      </x:c>
      <x:c r="J96" s="28" t="n">
        <x:v>231600</x:v>
      </x:c>
      <x:c r="K96" s="28" t="n">
        <x:v>0</x:v>
      </x:c>
      <x:c r="L96" t="n">
        <x:v>0</x:v>
      </x:c>
      <x:c r="M96" t="str">
        <x:v>SINTETICO</x:v>
      </x:c>
    </x:row>
    <x:row r="97">
      <x:c r="A97" t="str">
        <x:v>CASO-0048-to_be</x:v>
      </x:c>
      <x:c r="B97" t="str">
        <x:v>TO-BE</x:v>
      </x:c>
      <x:c r="C97" t="str">
        <x:v>2026-07</x:v>
      </x:c>
      <x:c r="D97" s="26" t="n">
        <x:v>1.507</x:v>
      </x:c>
      <x:c r="E97" s="26" t="n">
        <x:v>18.64</x:v>
      </x:c>
      <x:c r="F97" s="26" t="n">
        <x:v>20.147</x:v>
      </x:c>
      <x:c r="G97" t="n">
        <x:v>0</x:v>
      </x:c>
      <x:c r="H97" t="n">
        <x:v>0</x:v>
      </x:c>
      <x:c r="I97" t="n">
        <x:v>0</x:v>
      </x:c>
      <x:c r="J97" s="28" t="n">
        <x:v>90420</x:v>
      </x:c>
      <x:c r="K97" s="28" t="n">
        <x:v>0</x:v>
      </x:c>
      <x:c r="L97" t="n">
        <x:v>0</x:v>
      </x:c>
      <x:c r="M97" t="str">
        <x:v>SINTETICO</x:v>
      </x:c>
    </x:row>
    <x:row r="98">
      <x:c r="A98" t="str">
        <x:v>CASO-0049-as_is</x:v>
      </x:c>
      <x:c r="B98" t="str">
        <x:v>AS-IS</x:v>
      </x:c>
      <x:c r="C98" t="str">
        <x:v>2026-07</x:v>
      </x:c>
      <x:c r="D98" s="26" t="n">
        <x:v>2.149</x:v>
      </x:c>
      <x:c r="E98" s="26" t="n">
        <x:v>31.502</x:v>
      </x:c>
      <x:c r="F98" s="26" t="n">
        <x:v>33.651</x:v>
      </x:c>
      <x:c r="G98" t="n">
        <x:v>0</x:v>
      </x:c>
      <x:c r="H98" t="n">
        <x:v>0</x:v>
      </x:c>
      <x:c r="I98" t="n">
        <x:v>1</x:v>
      </x:c>
      <x:c r="J98" s="28" t="n">
        <x:v>128940</x:v>
      </x:c>
      <x:c r="K98" s="28" t="n">
        <x:v>0</x:v>
      </x:c>
      <x:c r="L98" t="n">
        <x:v>0</x:v>
      </x:c>
      <x:c r="M98" t="str">
        <x:v>SINTETICO</x:v>
      </x:c>
    </x:row>
    <x:row r="99">
      <x:c r="A99" t="str">
        <x:v>CASO-0049-to_be</x:v>
      </x:c>
      <x:c r="B99" t="str">
        <x:v>TO-BE</x:v>
      </x:c>
      <x:c r="C99" t="str">
        <x:v>2026-07</x:v>
      </x:c>
      <x:c r="D99" s="26" t="n">
        <x:v>0.882</x:v>
      </x:c>
      <x:c r="E99" s="26" t="n">
        <x:v>17.552</x:v>
      </x:c>
      <x:c r="F99" s="26" t="n">
        <x:v>18.434</x:v>
      </x:c>
      <x:c r="G99" t="n">
        <x:v>0</x:v>
      </x:c>
      <x:c r="H99" t="n">
        <x:v>0</x:v>
      </x:c>
      <x:c r="I99" t="n">
        <x:v>1</x:v>
      </x:c>
      <x:c r="J99" s="28" t="n">
        <x:v>52920</x:v>
      </x:c>
      <x:c r="K99" s="28" t="n">
        <x:v>0</x:v>
      </x:c>
      <x:c r="L99" t="n">
        <x:v>0</x:v>
      </x:c>
      <x:c r="M99" t="str">
        <x:v>SINTETICO</x:v>
      </x:c>
    </x:row>
    <x:row r="100">
      <x:c r="A100" t="str">
        <x:v>CASO-0050-as_is</x:v>
      </x:c>
      <x:c r="B100" t="str">
        <x:v>AS-IS</x:v>
      </x:c>
      <x:c r="C100" t="str">
        <x:v>2026-07</x:v>
      </x:c>
      <x:c r="D100" s="26" t="n">
        <x:v>3.566</x:v>
      </x:c>
      <x:c r="E100" s="26" t="n">
        <x:v>63.053</x:v>
      </x:c>
      <x:c r="F100" s="26" t="n">
        <x:v>66.619</x:v>
      </x:c>
      <x:c r="G100" t="n">
        <x:v>0</x:v>
      </x:c>
      <x:c r="H100" t="n">
        <x:v>0</x:v>
      </x:c>
      <x:c r="I100" t="n">
        <x:v>0</x:v>
      </x:c>
      <x:c r="J100" s="28" t="n">
        <x:v>213960</x:v>
      </x:c>
      <x:c r="K100" s="28" t="n">
        <x:v>0</x:v>
      </x:c>
      <x:c r="L100" t="n">
        <x:v>0</x:v>
      </x:c>
      <x:c r="M100" t="str">
        <x:v>SINTETICO</x:v>
      </x:c>
    </x:row>
    <x:row r="101">
      <x:c r="A101" t="str">
        <x:v>CASO-0050-to_be</x:v>
      </x:c>
      <x:c r="B101" t="str">
        <x:v>TO-BE</x:v>
      </x:c>
      <x:c r="C101" t="str">
        <x:v>2026-07</x:v>
      </x:c>
      <x:c r="D101" s="26" t="n">
        <x:v>1.377</x:v>
      </x:c>
      <x:c r="E101" s="26" t="n">
        <x:v>19.547</x:v>
      </x:c>
      <x:c r="F101" s="26" t="n">
        <x:v>20.924</x:v>
      </x:c>
      <x:c r="G101" t="n">
        <x:v>0</x:v>
      </x:c>
      <x:c r="H101" t="n">
        <x:v>0</x:v>
      </x:c>
      <x:c r="I101" t="n">
        <x:v>0</x:v>
      </x:c>
      <x:c r="J101" s="28" t="n">
        <x:v>82620</x:v>
      </x:c>
      <x:c r="K101" s="28" t="n">
        <x:v>0</x:v>
      </x:c>
      <x:c r="L101" t="n">
        <x:v>0</x:v>
      </x:c>
      <x:c r="M101" t="str">
        <x:v>SINTETICO</x:v>
      </x:c>
    </x:row>
    <x:row r="102">
      <x:c r="A102" t="str">
        <x:v>CASO-0051-as_is</x:v>
      </x:c>
      <x:c r="B102" t="str">
        <x:v>AS-IS</x:v>
      </x:c>
      <x:c r="C102" t="str">
        <x:v>2026-07</x:v>
      </x:c>
      <x:c r="D102" s="26" t="n">
        <x:v>2.405</x:v>
      </x:c>
      <x:c r="E102" s="26" t="n">
        <x:v>36.511</x:v>
      </x:c>
      <x:c r="F102" s="26" t="n">
        <x:v>38.916</x:v>
      </x:c>
      <x:c r="G102" t="n">
        <x:v>0</x:v>
      </x:c>
      <x:c r="H102" t="n">
        <x:v>1</x:v>
      </x:c>
      <x:c r="I102" t="n">
        <x:v>0</x:v>
      </x:c>
      <x:c r="J102" s="28" t="n">
        <x:v>144300</x:v>
      </x:c>
      <x:c r="K102" s="28" t="n">
        <x:v>0</x:v>
      </x:c>
      <x:c r="L102" t="n">
        <x:v>1</x:v>
      </x:c>
      <x:c r="M102" t="str">
        <x:v>SINTETICO</x:v>
      </x:c>
    </x:row>
    <x:row r="103">
      <x:c r="A103" t="str">
        <x:v>CASO-0051-to_be</x:v>
      </x:c>
      <x:c r="B103" t="str">
        <x:v>TO-BE</x:v>
      </x:c>
      <x:c r="C103" t="str">
        <x:v>2026-07</x:v>
      </x:c>
      <x:c r="D103" s="26" t="n">
        <x:v>1.075</x:v>
      </x:c>
      <x:c r="E103" s="26" t="n">
        <x:v>23.975</x:v>
      </x:c>
      <x:c r="F103" s="26" t="n">
        <x:v>25.05</x:v>
      </x:c>
      <x:c r="G103" t="n">
        <x:v>0</x:v>
      </x:c>
      <x:c r="H103" t="n">
        <x:v>0</x:v>
      </x:c>
      <x:c r="I103" t="n">
        <x:v>1</x:v>
      </x:c>
      <x:c r="J103" s="28" t="n">
        <x:v>64500</x:v>
      </x:c>
      <x:c r="K103" s="28" t="n">
        <x:v>0</x:v>
      </x:c>
      <x:c r="L103" t="n">
        <x:v>1</x:v>
      </x:c>
      <x:c r="M103" t="str">
        <x:v>SINTETICO</x:v>
      </x:c>
    </x:row>
    <x:row r="104">
      <x:c r="A104" t="str">
        <x:v>CASO-0052-as_is</x:v>
      </x:c>
      <x:c r="B104" t="str">
        <x:v>AS-IS</x:v>
      </x:c>
      <x:c r="C104" t="str">
        <x:v>2026-07</x:v>
      </x:c>
      <x:c r="D104" s="26" t="n">
        <x:v>3.734</x:v>
      </x:c>
      <x:c r="E104" s="26" t="n">
        <x:v>53.833</x:v>
      </x:c>
      <x:c r="F104" s="26" t="n">
        <x:v>57.567</x:v>
      </x:c>
      <x:c r="G104" t="n">
        <x:v>0</x:v>
      </x:c>
      <x:c r="H104" t="n">
        <x:v>1</x:v>
      </x:c>
      <x:c r="I104" t="n">
        <x:v>0</x:v>
      </x:c>
      <x:c r="J104" s="28" t="n">
        <x:v>224040</x:v>
      </x:c>
      <x:c r="K104" s="28" t="n">
        <x:v>0</x:v>
      </x:c>
      <x:c r="L104" t="n">
        <x:v>0</x:v>
      </x:c>
      <x:c r="M104" t="str">
        <x:v>SINTETICO</x:v>
      </x:c>
    </x:row>
    <x:row r="105">
      <x:c r="A105" t="str">
        <x:v>CASO-0052-to_be</x:v>
      </x:c>
      <x:c r="B105" t="str">
        <x:v>TO-BE</x:v>
      </x:c>
      <x:c r="C105" t="str">
        <x:v>2026-07</x:v>
      </x:c>
      <x:c r="D105" s="26" t="n">
        <x:v>1.518</x:v>
      </x:c>
      <x:c r="E105" s="26" t="n">
        <x:v>28.729</x:v>
      </x:c>
      <x:c r="F105" s="26" t="n">
        <x:v>30.247</x:v>
      </x:c>
      <x:c r="G105" t="n">
        <x:v>0</x:v>
      </x:c>
      <x:c r="H105" t="n">
        <x:v>0</x:v>
      </x:c>
      <x:c r="I105" t="n">
        <x:v>1</x:v>
      </x:c>
      <x:c r="J105" s="28" t="n">
        <x:v>91080</x:v>
      </x:c>
      <x:c r="K105" s="28" t="n">
        <x:v>0</x:v>
      </x:c>
      <x:c r="L105" t="n">
        <x:v>0</x:v>
      </x:c>
      <x:c r="M105" t="str">
        <x:v>SINTETICO</x:v>
      </x:c>
    </x:row>
    <x:row r="106">
      <x:c r="A106" t="str">
        <x:v>CASO-0053-as_is</x:v>
      </x:c>
      <x:c r="B106" t="str">
        <x:v>AS-IS</x:v>
      </x:c>
      <x:c r="C106" t="str">
        <x:v>2026-07</x:v>
      </x:c>
      <x:c r="D106" s="26" t="n">
        <x:v>3.706</x:v>
      </x:c>
      <x:c r="E106" s="26" t="n">
        <x:v>51.837</x:v>
      </x:c>
      <x:c r="F106" s="26" t="n">
        <x:v>55.543</x:v>
      </x:c>
      <x:c r="G106" t="n">
        <x:v>0</x:v>
      </x:c>
      <x:c r="H106" t="n">
        <x:v>1</x:v>
      </x:c>
      <x:c r="I106" t="n">
        <x:v>0</x:v>
      </x:c>
      <x:c r="J106" s="28" t="n">
        <x:v>222360</x:v>
      </x:c>
      <x:c r="K106" s="28" t="n">
        <x:v>0</x:v>
      </x:c>
      <x:c r="L106" t="n">
        <x:v>0</x:v>
      </x:c>
      <x:c r="M106" t="str">
        <x:v>SINTETICO</x:v>
      </x:c>
    </x:row>
    <x:row r="107">
      <x:c r="A107" t="str">
        <x:v>CASO-0053-to_be</x:v>
      </x:c>
      <x:c r="B107" t="str">
        <x:v>TO-BE</x:v>
      </x:c>
      <x:c r="C107" t="str">
        <x:v>2026-07</x:v>
      </x:c>
      <x:c r="D107" s="26" t="n">
        <x:v>1.539</x:v>
      </x:c>
      <x:c r="E107" s="26" t="n">
        <x:v>29.298</x:v>
      </x:c>
      <x:c r="F107" s="26" t="n">
        <x:v>30.837</x:v>
      </x:c>
      <x:c r="G107" t="n">
        <x:v>0</x:v>
      </x:c>
      <x:c r="H107" t="n">
        <x:v>0</x:v>
      </x:c>
      <x:c r="I107" t="n">
        <x:v>1</x:v>
      </x:c>
      <x:c r="J107" s="28" t="n">
        <x:v>92340</x:v>
      </x:c>
      <x:c r="K107" s="28" t="n">
        <x:v>0</x:v>
      </x:c>
      <x:c r="L107" t="n">
        <x:v>0</x:v>
      </x:c>
      <x:c r="M107" t="str">
        <x:v>SINTETICO</x:v>
      </x:c>
    </x:row>
    <x:row r="108">
      <x:c r="A108" t="str">
        <x:v>CASO-0054-as_is</x:v>
      </x:c>
      <x:c r="B108" t="str">
        <x:v>AS-IS</x:v>
      </x:c>
      <x:c r="C108" t="str">
        <x:v>2026-07</x:v>
      </x:c>
      <x:c r="D108" s="26" t="n">
        <x:v>2.158</x:v>
      </x:c>
      <x:c r="E108" s="26" t="n">
        <x:v>26.27</x:v>
      </x:c>
      <x:c r="F108" s="26" t="n">
        <x:v>28.428</x:v>
      </x:c>
      <x:c r="G108" t="n">
        <x:v>0</x:v>
      </x:c>
      <x:c r="H108" t="n">
        <x:v>0</x:v>
      </x:c>
      <x:c r="I108" t="n">
        <x:v>0</x:v>
      </x:c>
      <x:c r="J108" s="28" t="n">
        <x:v>129480</x:v>
      </x:c>
      <x:c r="K108" s="28" t="n">
        <x:v>0</x:v>
      </x:c>
      <x:c r="L108" t="n">
        <x:v>1</x:v>
      </x:c>
      <x:c r="M108" t="str">
        <x:v>SINTETICO</x:v>
      </x:c>
    </x:row>
    <x:row r="109">
      <x:c r="A109" t="str">
        <x:v>CASO-0054-to_be</x:v>
      </x:c>
      <x:c r="B109" t="str">
        <x:v>TO-BE</x:v>
      </x:c>
      <x:c r="C109" t="str">
        <x:v>2026-07</x:v>
      </x:c>
      <x:c r="D109" s="26" t="n">
        <x:v>0.901</x:v>
      </x:c>
      <x:c r="E109" s="26" t="n">
        <x:v>16.147</x:v>
      </x:c>
      <x:c r="F109" s="26" t="n">
        <x:v>17.048</x:v>
      </x:c>
      <x:c r="G109" t="n">
        <x:v>0</x:v>
      </x:c>
      <x:c r="H109" t="n">
        <x:v>0</x:v>
      </x:c>
      <x:c r="I109" t="n">
        <x:v>1</x:v>
      </x:c>
      <x:c r="J109" s="28" t="n">
        <x:v>54060</x:v>
      </x:c>
      <x:c r="K109" s="28" t="n">
        <x:v>0</x:v>
      </x:c>
      <x:c r="L109" t="n">
        <x:v>1</x:v>
      </x:c>
      <x:c r="M109" t="str">
        <x:v>SINTETICO</x:v>
      </x:c>
    </x:row>
    <x:row r="110">
      <x:c r="A110" t="str">
        <x:v>CASO-0055-as_is</x:v>
      </x:c>
      <x:c r="B110" t="str">
        <x:v>AS-IS</x:v>
      </x:c>
      <x:c r="C110" t="str">
        <x:v>2026-07</x:v>
      </x:c>
      <x:c r="D110" s="26" t="n">
        <x:v>2.291</x:v>
      </x:c>
      <x:c r="E110" s="26" t="n">
        <x:v>41.268</x:v>
      </x:c>
      <x:c r="F110" s="26" t="n">
        <x:v>43.559</x:v>
      </x:c>
      <x:c r="G110" t="n">
        <x:v>0</x:v>
      </x:c>
      <x:c r="H110" t="n">
        <x:v>0</x:v>
      </x:c>
      <x:c r="I110" t="n">
        <x:v>0</x:v>
      </x:c>
      <x:c r="J110" s="28" t="n">
        <x:v>137460</x:v>
      </x:c>
      <x:c r="K110" s="28" t="n">
        <x:v>0</x:v>
      </x:c>
      <x:c r="L110" t="n">
        <x:v>0</x:v>
      </x:c>
      <x:c r="M110" t="str">
        <x:v>SINTETICO</x:v>
      </x:c>
    </x:row>
    <x:row r="111">
      <x:c r="A111" t="str">
        <x:v>CASO-0055-to_be</x:v>
      </x:c>
      <x:c r="B111" t="str">
        <x:v>TO-BE</x:v>
      </x:c>
      <x:c r="C111" t="str">
        <x:v>2026-07</x:v>
      </x:c>
      <x:c r="D111" s="26" t="n">
        <x:v>1.017</x:v>
      </x:c>
      <x:c r="E111" s="26" t="n">
        <x:v>16.303</x:v>
      </x:c>
      <x:c r="F111" s="26" t="n">
        <x:v>17.32</x:v>
      </x:c>
      <x:c r="G111" t="n">
        <x:v>0</x:v>
      </x:c>
      <x:c r="H111" t="n">
        <x:v>0</x:v>
      </x:c>
      <x:c r="I111" t="n">
        <x:v>1</x:v>
      </x:c>
      <x:c r="J111" s="28" t="n">
        <x:v>61020</x:v>
      </x:c>
      <x:c r="K111" s="28" t="n">
        <x:v>0</x:v>
      </x:c>
      <x:c r="L111" t="n">
        <x:v>0</x:v>
      </x:c>
      <x:c r="M111" t="str">
        <x:v>SINTETICO</x:v>
      </x:c>
    </x:row>
    <x:row r="112">
      <x:c r="A112" t="str">
        <x:v>CASO-0056-as_is</x:v>
      </x:c>
      <x:c r="B112" t="str">
        <x:v>AS-IS</x:v>
      </x:c>
      <x:c r="C112" t="str">
        <x:v>2026-08</x:v>
      </x:c>
      <x:c r="D112" s="26" t="n">
        <x:v>2.781</x:v>
      </x:c>
      <x:c r="E112" s="26" t="n">
        <x:v>42.343</x:v>
      </x:c>
      <x:c r="F112" s="26" t="n">
        <x:v>45.124</x:v>
      </x:c>
      <x:c r="G112" t="n">
        <x:v>0</x:v>
      </x:c>
      <x:c r="H112" t="n">
        <x:v>1</x:v>
      </x:c>
      <x:c r="I112" t="n">
        <x:v>0</x:v>
      </x:c>
      <x:c r="J112" s="28" t="n">
        <x:v>166860</x:v>
      </x:c>
      <x:c r="K112" s="28" t="n">
        <x:v>0</x:v>
      </x:c>
      <x:c r="L112" t="n">
        <x:v>0</x:v>
      </x:c>
      <x:c r="M112" t="str">
        <x:v>SINTETICO</x:v>
      </x:c>
    </x:row>
    <x:row r="113">
      <x:c r="A113" t="str">
        <x:v>CASO-0056-to_be</x:v>
      </x:c>
      <x:c r="B113" t="str">
        <x:v>TO-BE</x:v>
      </x:c>
      <x:c r="C113" t="str">
        <x:v>2026-08</x:v>
      </x:c>
      <x:c r="D113" s="26" t="n">
        <x:v>1.196</x:v>
      </x:c>
      <x:c r="E113" s="26" t="n">
        <x:v>24.609</x:v>
      </x:c>
      <x:c r="F113" s="26" t="n">
        <x:v>25.805</x:v>
      </x:c>
      <x:c r="G113" t="n">
        <x:v>1</x:v>
      </x:c>
      <x:c r="H113" t="n">
        <x:v>0</x:v>
      </x:c>
      <x:c r="I113" t="n">
        <x:v>1</x:v>
      </x:c>
      <x:c r="J113" s="28" t="n">
        <x:v>71760</x:v>
      </x:c>
      <x:c r="K113" s="28" t="n">
        <x:v>70000</x:v>
      </x:c>
      <x:c r="L113" t="n">
        <x:v>0</x:v>
      </x:c>
      <x:c r="M113" t="str">
        <x:v>SINTETICO</x:v>
      </x:c>
    </x:row>
    <x:row r="114">
      <x:c r="A114" t="str">
        <x:v>CASO-0057-as_is</x:v>
      </x:c>
      <x:c r="B114" t="str">
        <x:v>AS-IS</x:v>
      </x:c>
      <x:c r="C114" t="str">
        <x:v>2026-08</x:v>
      </x:c>
      <x:c r="D114" s="26" t="n">
        <x:v>3.567</x:v>
      </x:c>
      <x:c r="E114" s="26" t="n">
        <x:v>45.553</x:v>
      </x:c>
      <x:c r="F114" s="26" t="n">
        <x:v>49.12</x:v>
      </x:c>
      <x:c r="G114" t="n">
        <x:v>0</x:v>
      </x:c>
      <x:c r="H114" t="n">
        <x:v>0</x:v>
      </x:c>
      <x:c r="I114" t="n">
        <x:v>0</x:v>
      </x:c>
      <x:c r="J114" s="28" t="n">
        <x:v>214020</x:v>
      </x:c>
      <x:c r="K114" s="28" t="n">
        <x:v>0</x:v>
      </x:c>
      <x:c r="L114" t="n">
        <x:v>0</x:v>
      </x:c>
      <x:c r="M114" t="str">
        <x:v>SINTETICO</x:v>
      </x:c>
    </x:row>
    <x:row r="115">
      <x:c r="A115" t="str">
        <x:v>CASO-0057-to_be</x:v>
      </x:c>
      <x:c r="B115" t="str">
        <x:v>TO-BE</x:v>
      </x:c>
      <x:c r="C115" t="str">
        <x:v>2026-08</x:v>
      </x:c>
      <x:c r="D115" s="26" t="n">
        <x:v>1.56</x:v>
      </x:c>
      <x:c r="E115" s="26" t="n">
        <x:v>28.352</x:v>
      </x:c>
      <x:c r="F115" s="26" t="n">
        <x:v>29.912</x:v>
      </x:c>
      <x:c r="G115" t="n">
        <x:v>0</x:v>
      </x:c>
      <x:c r="H115" t="n">
        <x:v>0</x:v>
      </x:c>
      <x:c r="I115" t="n">
        <x:v>1</x:v>
      </x:c>
      <x:c r="J115" s="28" t="n">
        <x:v>93600</x:v>
      </x:c>
      <x:c r="K115" s="28" t="n">
        <x:v>0</x:v>
      </x:c>
      <x:c r="L115" t="n">
        <x:v>0</x:v>
      </x:c>
      <x:c r="M115" t="str">
        <x:v>SINTETICO</x:v>
      </x:c>
    </x:row>
    <x:row r="116">
      <x:c r="A116" t="str">
        <x:v>CASO-0058-as_is</x:v>
      </x:c>
      <x:c r="B116" t="str">
        <x:v>AS-IS</x:v>
      </x:c>
      <x:c r="C116" t="str">
        <x:v>2026-08</x:v>
      </x:c>
      <x:c r="D116" s="26" t="n">
        <x:v>2.541</x:v>
      </x:c>
      <x:c r="E116" s="26" t="n">
        <x:v>32.181</x:v>
      </x:c>
      <x:c r="F116" s="26" t="n">
        <x:v>34.722</x:v>
      </x:c>
      <x:c r="G116" t="n">
        <x:v>0</x:v>
      </x:c>
      <x:c r="H116" t="n">
        <x:v>1</x:v>
      </x:c>
      <x:c r="I116" t="n">
        <x:v>0</x:v>
      </x:c>
      <x:c r="J116" s="28" t="n">
        <x:v>152460</x:v>
      </x:c>
      <x:c r="K116" s="28" t="n">
        <x:v>0</x:v>
      </x:c>
      <x:c r="L116" t="n">
        <x:v>0</x:v>
      </x:c>
      <x:c r="M116" t="str">
        <x:v>SINTETICO</x:v>
      </x:c>
    </x:row>
    <x:row r="117">
      <x:c r="A117" t="str">
        <x:v>CASO-0058-to_be</x:v>
      </x:c>
      <x:c r="B117" t="str">
        <x:v>TO-BE</x:v>
      </x:c>
      <x:c r="C117" t="str">
        <x:v>2026-08</x:v>
      </x:c>
      <x:c r="D117" s="26" t="n">
        <x:v>1.002</x:v>
      </x:c>
      <x:c r="E117" s="26" t="n">
        <x:v>25.269</x:v>
      </x:c>
      <x:c r="F117" s="26" t="n">
        <x:v>26.271</x:v>
      </x:c>
      <x:c r="G117" t="n">
        <x:v>0</x:v>
      </x:c>
      <x:c r="H117" t="n">
        <x:v>0</x:v>
      </x:c>
      <x:c r="I117" t="n">
        <x:v>1</x:v>
      </x:c>
      <x:c r="J117" s="28" t="n">
        <x:v>60120</x:v>
      </x:c>
      <x:c r="K117" s="28" t="n">
        <x:v>0</x:v>
      </x:c>
      <x:c r="L117" t="n">
        <x:v>0</x:v>
      </x:c>
      <x:c r="M117" t="str">
        <x:v>SINTETICO</x:v>
      </x:c>
    </x:row>
    <x:row r="118">
      <x:c r="A118" t="str">
        <x:v>CASO-0059-as_is</x:v>
      </x:c>
      <x:c r="B118" t="str">
        <x:v>AS-IS</x:v>
      </x:c>
      <x:c r="C118" t="str">
        <x:v>2026-08</x:v>
      </x:c>
      <x:c r="D118" s="26" t="n">
        <x:v>2.077</x:v>
      </x:c>
      <x:c r="E118" s="26" t="n">
        <x:v>32.201</x:v>
      </x:c>
      <x:c r="F118" s="26" t="n">
        <x:v>34.278</x:v>
      </x:c>
      <x:c r="G118" t="n">
        <x:v>0</x:v>
      </x:c>
      <x:c r="H118" t="n">
        <x:v>0</x:v>
      </x:c>
      <x:c r="I118" t="n">
        <x:v>1</x:v>
      </x:c>
      <x:c r="J118" s="28" t="n">
        <x:v>124620</x:v>
      </x:c>
      <x:c r="K118" s="28" t="n">
        <x:v>0</x:v>
      </x:c>
      <x:c r="L118" t="n">
        <x:v>0</x:v>
      </x:c>
      <x:c r="M118" t="str">
        <x:v>SINTETICO</x:v>
      </x:c>
    </x:row>
    <x:row r="119">
      <x:c r="A119" t="str">
        <x:v>CASO-0059-to_be</x:v>
      </x:c>
      <x:c r="B119" t="str">
        <x:v>TO-BE</x:v>
      </x:c>
      <x:c r="C119" t="str">
        <x:v>2026-08</x:v>
      </x:c>
      <x:c r="D119" s="26" t="n">
        <x:v>1.118</x:v>
      </x:c>
      <x:c r="E119" s="26" t="n">
        <x:v>22.772</x:v>
      </x:c>
      <x:c r="F119" s="26" t="n">
        <x:v>23.89</x:v>
      </x:c>
      <x:c r="G119" t="n">
        <x:v>0</x:v>
      </x:c>
      <x:c r="H119" t="n">
        <x:v>0</x:v>
      </x:c>
      <x:c r="I119" t="n">
        <x:v>1</x:v>
      </x:c>
      <x:c r="J119" s="28" t="n">
        <x:v>67080</x:v>
      </x:c>
      <x:c r="K119" s="28" t="n">
        <x:v>0</x:v>
      </x:c>
      <x:c r="L119" t="n">
        <x:v>0</x:v>
      </x:c>
      <x:c r="M119" t="str">
        <x:v>SINTETICO</x:v>
      </x:c>
    </x:row>
    <x:row r="120">
      <x:c r="A120" t="str">
        <x:v>CASO-0060-as_is</x:v>
      </x:c>
      <x:c r="B120" t="str">
        <x:v>AS-IS</x:v>
      </x:c>
      <x:c r="C120" t="str">
        <x:v>2026-08</x:v>
      </x:c>
      <x:c r="D120" s="26" t="n">
        <x:v>2.823</x:v>
      </x:c>
      <x:c r="E120" s="26" t="n">
        <x:v>35.363</x:v>
      </x:c>
      <x:c r="F120" s="26" t="n">
        <x:v>38.186</x:v>
      </x:c>
      <x:c r="G120" t="n">
        <x:v>0</x:v>
      </x:c>
      <x:c r="H120" t="n">
        <x:v>1</x:v>
      </x:c>
      <x:c r="I120" t="n">
        <x:v>0</x:v>
      </x:c>
      <x:c r="J120" s="28" t="n">
        <x:v>169380</x:v>
      </x:c>
      <x:c r="K120" s="28" t="n">
        <x:v>0</x:v>
      </x:c>
      <x:c r="L120" t="n">
        <x:v>0</x:v>
      </x:c>
      <x:c r="M120" t="str">
        <x:v>SINTETICO</x:v>
      </x:c>
    </x:row>
    <x:row r="121">
      <x:c r="A121" t="str">
        <x:v>CASO-0060-to_be</x:v>
      </x:c>
      <x:c r="B121" t="str">
        <x:v>TO-BE</x:v>
      </x:c>
      <x:c r="C121" t="str">
        <x:v>2026-08</x:v>
      </x:c>
      <x:c r="D121" s="26" t="n">
        <x:v>1.035</x:v>
      </x:c>
      <x:c r="E121" s="26" t="n">
        <x:v>25.747</x:v>
      </x:c>
      <x:c r="F121" s="26" t="n">
        <x:v>26.782</x:v>
      </x:c>
      <x:c r="G121" t="n">
        <x:v>0</x:v>
      </x:c>
      <x:c r="H121" t="n">
        <x:v>0</x:v>
      </x:c>
      <x:c r="I121" t="n">
        <x:v>1</x:v>
      </x:c>
      <x:c r="J121" s="28" t="n">
        <x:v>62100</x:v>
      </x:c>
      <x:c r="K121" s="28" t="n">
        <x:v>0</x:v>
      </x:c>
      <x:c r="L121" t="n">
        <x:v>0</x:v>
      </x:c>
      <x:c r="M121" t="str">
        <x:v>SINTETICO</x:v>
      </x:c>
    </x:row>
    <x:row r="122">
      <x:c r="A122" t="str">
        <x:v>CASO-0061-as_is</x:v>
      </x:c>
      <x:c r="B122" t="str">
        <x:v>AS-IS</x:v>
      </x:c>
      <x:c r="C122" t="str">
        <x:v>2026-08</x:v>
      </x:c>
      <x:c r="D122" s="26" t="n">
        <x:v>2.671</x:v>
      </x:c>
      <x:c r="E122" s="26" t="n">
        <x:v>33.343</x:v>
      </x:c>
      <x:c r="F122" s="26" t="n">
        <x:v>36.014</x:v>
      </x:c>
      <x:c r="G122" t="n">
        <x:v>0</x:v>
      </x:c>
      <x:c r="H122" t="n">
        <x:v>0</x:v>
      </x:c>
      <x:c r="I122" t="n">
        <x:v>0</x:v>
      </x:c>
      <x:c r="J122" s="28" t="n">
        <x:v>160260</x:v>
      </x:c>
      <x:c r="K122" s="28" t="n">
        <x:v>0</x:v>
      </x:c>
      <x:c r="L122" t="n">
        <x:v>1</x:v>
      </x:c>
      <x:c r="M122" t="str">
        <x:v>SINTETICO</x:v>
      </x:c>
    </x:row>
    <x:row r="123">
      <x:c r="A123" t="str">
        <x:v>CASO-0061-to_be</x:v>
      </x:c>
      <x:c r="B123" t="str">
        <x:v>TO-BE</x:v>
      </x:c>
      <x:c r="C123" t="str">
        <x:v>2026-08</x:v>
      </x:c>
      <x:c r="D123" s="26" t="n">
        <x:v>1.054</x:v>
      </x:c>
      <x:c r="E123" s="26" t="n">
        <x:v>15.92</x:v>
      </x:c>
      <x:c r="F123" s="26" t="n">
        <x:v>16.974</x:v>
      </x:c>
      <x:c r="G123" t="n">
        <x:v>0</x:v>
      </x:c>
      <x:c r="H123" t="n">
        <x:v>0</x:v>
      </x:c>
      <x:c r="I123" t="n">
        <x:v>0</x:v>
      </x:c>
      <x:c r="J123" s="28" t="n">
        <x:v>63240</x:v>
      </x:c>
      <x:c r="K123" s="28" t="n">
        <x:v>0</x:v>
      </x:c>
      <x:c r="L123" t="n">
        <x:v>1</x:v>
      </x:c>
      <x:c r="M123" t="str">
        <x:v>SINTETICO</x:v>
      </x:c>
    </x:row>
    <x:row r="124">
      <x:c r="A124" t="str">
        <x:v>CASO-0062-as_is</x:v>
      </x:c>
      <x:c r="B124" t="str">
        <x:v>AS-IS</x:v>
      </x:c>
      <x:c r="C124" t="str">
        <x:v>2026-08</x:v>
      </x:c>
      <x:c r="D124" s="26" t="n">
        <x:v>2.755</x:v>
      </x:c>
      <x:c r="E124" s="26" t="n">
        <x:v>37.619</x:v>
      </x:c>
      <x:c r="F124" s="26" t="n">
        <x:v>40.374</x:v>
      </x:c>
      <x:c r="G124" t="n">
        <x:v>0</x:v>
      </x:c>
      <x:c r="H124" t="n">
        <x:v>1</x:v>
      </x:c>
      <x:c r="I124" t="n">
        <x:v>0</x:v>
      </x:c>
      <x:c r="J124" s="28" t="n">
        <x:v>165300</x:v>
      </x:c>
      <x:c r="K124" s="28" t="n">
        <x:v>0</x:v>
      </x:c>
      <x:c r="L124" t="n">
        <x:v>0</x:v>
      </x:c>
      <x:c r="M124" t="str">
        <x:v>SINTETICO</x:v>
      </x:c>
    </x:row>
    <x:row r="125">
      <x:c r="A125" t="str">
        <x:v>CASO-0062-to_be</x:v>
      </x:c>
      <x:c r="B125" t="str">
        <x:v>TO-BE</x:v>
      </x:c>
      <x:c r="C125" t="str">
        <x:v>2026-08</x:v>
      </x:c>
      <x:c r="D125" s="26" t="n">
        <x:v>0.851</x:v>
      </x:c>
      <x:c r="E125" s="26" t="n">
        <x:v>15.179</x:v>
      </x:c>
      <x:c r="F125" s="26" t="n">
        <x:v>16.03</x:v>
      </x:c>
      <x:c r="G125" t="n">
        <x:v>1</x:v>
      </x:c>
      <x:c r="H125" t="n">
        <x:v>0</x:v>
      </x:c>
      <x:c r="I125" t="n">
        <x:v>0</x:v>
      </x:c>
      <x:c r="J125" s="28" t="n">
        <x:v>51060</x:v>
      </x:c>
      <x:c r="K125" s="28" t="n">
        <x:v>70000</x:v>
      </x:c>
      <x:c r="L125" t="n">
        <x:v>0</x:v>
      </x:c>
      <x:c r="M125" t="str">
        <x:v>SINTETICO</x:v>
      </x:c>
    </x:row>
    <x:row r="126">
      <x:c r="A126" t="str">
        <x:v>CASO-0063-as_is</x:v>
      </x:c>
      <x:c r="B126" t="str">
        <x:v>AS-IS</x:v>
      </x:c>
      <x:c r="C126" t="str">
        <x:v>2026-08</x:v>
      </x:c>
      <x:c r="D126" s="26" t="n">
        <x:v>2.508</x:v>
      </x:c>
      <x:c r="E126" s="26" t="n">
        <x:v>47.497</x:v>
      </x:c>
      <x:c r="F126" s="26" t="n">
        <x:v>50.005</x:v>
      </x:c>
      <x:c r="G126" t="n">
        <x:v>0</x:v>
      </x:c>
      <x:c r="H126" t="n">
        <x:v>0</x:v>
      </x:c>
      <x:c r="I126" t="n">
        <x:v>0</x:v>
      </x:c>
      <x:c r="J126" s="28" t="n">
        <x:v>150480</x:v>
      </x:c>
      <x:c r="K126" s="28" t="n">
        <x:v>0</x:v>
      </x:c>
      <x:c r="L126" t="n">
        <x:v>0</x:v>
      </x:c>
      <x:c r="M126" t="str">
        <x:v>SINTETICO</x:v>
      </x:c>
    </x:row>
    <x:row r="127">
      <x:c r="A127" t="str">
        <x:v>CASO-0063-to_be</x:v>
      </x:c>
      <x:c r="B127" t="str">
        <x:v>TO-BE</x:v>
      </x:c>
      <x:c r="C127" t="str">
        <x:v>2026-08</x:v>
      </x:c>
      <x:c r="D127" s="26" t="n">
        <x:v>1.12</x:v>
      </x:c>
      <x:c r="E127" s="26" t="n">
        <x:v>18.139</x:v>
      </x:c>
      <x:c r="F127" s="26" t="n">
        <x:v>19.259</x:v>
      </x:c>
      <x:c r="G127" t="n">
        <x:v>0</x:v>
      </x:c>
      <x:c r="H127" t="n">
        <x:v>0</x:v>
      </x:c>
      <x:c r="I127" t="n">
        <x:v>1</x:v>
      </x:c>
      <x:c r="J127" s="28" t="n">
        <x:v>67200</x:v>
      </x:c>
      <x:c r="K127" s="28" t="n">
        <x:v>0</x:v>
      </x:c>
      <x:c r="L127" t="n">
        <x:v>0</x:v>
      </x:c>
      <x:c r="M127" t="str">
        <x:v>SINTETICO</x:v>
      </x:c>
    </x:row>
    <x:row r="128">
      <x:c r="A128" t="str">
        <x:v>CASO-0064-as_is</x:v>
      </x:c>
      <x:c r="B128" t="str">
        <x:v>AS-IS</x:v>
      </x:c>
      <x:c r="C128" t="str">
        <x:v>2026-08</x:v>
      </x:c>
      <x:c r="D128" s="26" t="n">
        <x:v>3.369</x:v>
      </x:c>
      <x:c r="E128" s="26" t="n">
        <x:v>51.93</x:v>
      </x:c>
      <x:c r="F128" s="26" t="n">
        <x:v>55.299</x:v>
      </x:c>
      <x:c r="G128" t="n">
        <x:v>1</x:v>
      </x:c>
      <x:c r="H128" t="n">
        <x:v>0</x:v>
      </x:c>
      <x:c r="I128" t="n">
        <x:v>0</x:v>
      </x:c>
      <x:c r="J128" s="28" t="n">
        <x:v>202140</x:v>
      </x:c>
      <x:c r="K128" s="28" t="n">
        <x:v>70000</x:v>
      </x:c>
      <x:c r="L128" t="n">
        <x:v>0</x:v>
      </x:c>
      <x:c r="M128" t="str">
        <x:v>SINTETICO</x:v>
      </x:c>
    </x:row>
    <x:row r="129">
      <x:c r="A129" t="str">
        <x:v>CASO-0064-to_be</x:v>
      </x:c>
      <x:c r="B129" t="str">
        <x:v>TO-BE</x:v>
      </x:c>
      <x:c r="C129" t="str">
        <x:v>2026-08</x:v>
      </x:c>
      <x:c r="D129" s="26" t="n">
        <x:v>1.459</x:v>
      </x:c>
      <x:c r="E129" s="26" t="n">
        <x:v>27.937</x:v>
      </x:c>
      <x:c r="F129" s="26" t="n">
        <x:v>29.396</x:v>
      </x:c>
      <x:c r="G129" t="n">
        <x:v>0</x:v>
      </x:c>
      <x:c r="H129" t="n">
        <x:v>0</x:v>
      </x:c>
      <x:c r="I129" t="n">
        <x:v>1</x:v>
      </x:c>
      <x:c r="J129" s="28" t="n">
        <x:v>87540</x:v>
      </x:c>
      <x:c r="K129" s="28" t="n">
        <x:v>0</x:v>
      </x:c>
      <x:c r="L129" t="n">
        <x:v>0</x:v>
      </x:c>
      <x:c r="M129" t="str">
        <x:v>SINTETICO</x:v>
      </x:c>
    </x:row>
    <x:row r="130">
      <x:c r="A130" t="str">
        <x:v>CASO-0065-as_is</x:v>
      </x:c>
      <x:c r="B130" t="str">
        <x:v>AS-IS</x:v>
      </x:c>
      <x:c r="C130" t="str">
        <x:v>2026-08</x:v>
      </x:c>
      <x:c r="D130" s="26" t="n">
        <x:v>3.055</x:v>
      </x:c>
      <x:c r="E130" s="26" t="n">
        <x:v>53.272</x:v>
      </x:c>
      <x:c r="F130" s="26" t="n">
        <x:v>56.327</x:v>
      </x:c>
      <x:c r="G130" t="n">
        <x:v>0</x:v>
      </x:c>
      <x:c r="H130" t="n">
        <x:v>1</x:v>
      </x:c>
      <x:c r="I130" t="n">
        <x:v>0</x:v>
      </x:c>
      <x:c r="J130" s="28" t="n">
        <x:v>183300</x:v>
      </x:c>
      <x:c r="K130" s="28" t="n">
        <x:v>0</x:v>
      </x:c>
      <x:c r="L130" t="n">
        <x:v>1</x:v>
      </x:c>
      <x:c r="M130" t="str">
        <x:v>SINTETICO</x:v>
      </x:c>
    </x:row>
    <x:row r="131">
      <x:c r="A131" t="str">
        <x:v>CASO-0065-to_be</x:v>
      </x:c>
      <x:c r="B131" t="str">
        <x:v>TO-BE</x:v>
      </x:c>
      <x:c r="C131" t="str">
        <x:v>2026-08</x:v>
      </x:c>
      <x:c r="D131" s="26" t="n">
        <x:v>1.104</x:v>
      </x:c>
      <x:c r="E131" s="26" t="n">
        <x:v>21.28</x:v>
      </x:c>
      <x:c r="F131" s="26" t="n">
        <x:v>22.384</x:v>
      </x:c>
      <x:c r="G131" t="n">
        <x:v>0</x:v>
      </x:c>
      <x:c r="H131" t="n">
        <x:v>0</x:v>
      </x:c>
      <x:c r="I131" t="n">
        <x:v>1</x:v>
      </x:c>
      <x:c r="J131" s="28" t="n">
        <x:v>66240</x:v>
      </x:c>
      <x:c r="K131" s="28" t="n">
        <x:v>0</x:v>
      </x:c>
      <x:c r="L131" t="n">
        <x:v>1</x:v>
      </x:c>
      <x:c r="M131" t="str">
        <x:v>SINTETICO</x:v>
      </x:c>
    </x:row>
    <x:row r="132">
      <x:c r="A132" t="str">
        <x:v>CASO-0066-as_is</x:v>
      </x:c>
      <x:c r="B132" t="str">
        <x:v>AS-IS</x:v>
      </x:c>
      <x:c r="C132" t="str">
        <x:v>2026-08</x:v>
      </x:c>
      <x:c r="D132" s="26" t="n">
        <x:v>2.773</x:v>
      </x:c>
      <x:c r="E132" s="26" t="n">
        <x:v>39.658</x:v>
      </x:c>
      <x:c r="F132" s="26" t="n">
        <x:v>42.431</x:v>
      </x:c>
      <x:c r="G132" t="n">
        <x:v>1</x:v>
      </x:c>
      <x:c r="H132" t="n">
        <x:v>0</x:v>
      </x:c>
      <x:c r="I132" t="n">
        <x:v>1</x:v>
      </x:c>
      <x:c r="J132" s="28" t="n">
        <x:v>166380</x:v>
      </x:c>
      <x:c r="K132" s="28" t="n">
        <x:v>70000</x:v>
      </x:c>
      <x:c r="L132" t="n">
        <x:v>1</x:v>
      </x:c>
      <x:c r="M132" t="str">
        <x:v>SINTETICO</x:v>
      </x:c>
    </x:row>
    <x:row r="133">
      <x:c r="A133" t="str">
        <x:v>CASO-0066-to_be</x:v>
      </x:c>
      <x:c r="B133" t="str">
        <x:v>TO-BE</x:v>
      </x:c>
      <x:c r="C133" t="str">
        <x:v>2026-08</x:v>
      </x:c>
      <x:c r="D133" s="26" t="n">
        <x:v>1.127</x:v>
      </x:c>
      <x:c r="E133" s="26" t="n">
        <x:v>25.299</x:v>
      </x:c>
      <x:c r="F133" s="26" t="n">
        <x:v>26.426</x:v>
      </x:c>
      <x:c r="G133" t="n">
        <x:v>0</x:v>
      </x:c>
      <x:c r="H133" t="n">
        <x:v>0</x:v>
      </x:c>
      <x:c r="I133" t="n">
        <x:v>1</x:v>
      </x:c>
      <x:c r="J133" s="28" t="n">
        <x:v>67620</x:v>
      </x:c>
      <x:c r="K133" s="28" t="n">
        <x:v>0</x:v>
      </x:c>
      <x:c r="L133" t="n">
        <x:v>1</x:v>
      </x:c>
      <x:c r="M133" t="str">
        <x:v>SINTETICO</x:v>
      </x:c>
    </x:row>
    <x:row r="134">
      <x:c r="A134" t="str">
        <x:v>CASO-0067-as_is</x:v>
      </x:c>
      <x:c r="B134" t="str">
        <x:v>AS-IS</x:v>
      </x:c>
      <x:c r="C134" t="str">
        <x:v>2026-08</x:v>
      </x:c>
      <x:c r="D134" s="26" t="n">
        <x:v>2.348</x:v>
      </x:c>
      <x:c r="E134" s="26" t="n">
        <x:v>35.706</x:v>
      </x:c>
      <x:c r="F134" s="26" t="n">
        <x:v>38.054</x:v>
      </x:c>
      <x:c r="G134" t="n">
        <x:v>0</x:v>
      </x:c>
      <x:c r="H134" t="n">
        <x:v>0</x:v>
      </x:c>
      <x:c r="I134" t="n">
        <x:v>1</x:v>
      </x:c>
      <x:c r="J134" s="28" t="n">
        <x:v>140880</x:v>
      </x:c>
      <x:c r="K134" s="28" t="n">
        <x:v>0</x:v>
      </x:c>
      <x:c r="L134" t="n">
        <x:v>0</x:v>
      </x:c>
      <x:c r="M134" t="str">
        <x:v>SINTETICO</x:v>
      </x:c>
    </x:row>
    <x:row r="135">
      <x:c r="A135" t="str">
        <x:v>CASO-0067-to_be</x:v>
      </x:c>
      <x:c r="B135" t="str">
        <x:v>TO-BE</x:v>
      </x:c>
      <x:c r="C135" t="str">
        <x:v>2026-08</x:v>
      </x:c>
      <x:c r="D135" s="26" t="n">
        <x:v>1.112</x:v>
      </x:c>
      <x:c r="E135" s="26" t="n">
        <x:v>18.412</x:v>
      </x:c>
      <x:c r="F135" s="26" t="n">
        <x:v>19.524</x:v>
      </x:c>
      <x:c r="G135" t="n">
        <x:v>0</x:v>
      </x:c>
      <x:c r="H135" t="n">
        <x:v>0</x:v>
      </x:c>
      <x:c r="I135" t="n">
        <x:v>1</x:v>
      </x:c>
      <x:c r="J135" s="28" t="n">
        <x:v>66720</x:v>
      </x:c>
      <x:c r="K135" s="28" t="n">
        <x:v>0</x:v>
      </x:c>
      <x:c r="L135" t="n">
        <x:v>0</x:v>
      </x:c>
      <x:c r="M135" t="str">
        <x:v>SINTETICO</x:v>
      </x:c>
    </x:row>
    <x:row r="136">
      <x:c r="A136" t="str">
        <x:v>CASO-0068-as_is</x:v>
      </x:c>
      <x:c r="B136" t="str">
        <x:v>AS-IS</x:v>
      </x:c>
      <x:c r="C136" t="str">
        <x:v>2026-08</x:v>
      </x:c>
      <x:c r="D136" s="26" t="n">
        <x:v>3.875</x:v>
      </x:c>
      <x:c r="E136" s="26" t="n">
        <x:v>55.577</x:v>
      </x:c>
      <x:c r="F136" s="26" t="n">
        <x:v>59.452</x:v>
      </x:c>
      <x:c r="G136" t="n">
        <x:v>0</x:v>
      </x:c>
      <x:c r="H136" t="n">
        <x:v>0</x:v>
      </x:c>
      <x:c r="I136" t="n">
        <x:v>0</x:v>
      </x:c>
      <x:c r="J136" s="28" t="n">
        <x:v>232500</x:v>
      </x:c>
      <x:c r="K136" s="28" t="n">
        <x:v>0</x:v>
      </x:c>
      <x:c r="L136" t="n">
        <x:v>0</x:v>
      </x:c>
      <x:c r="M136" t="str">
        <x:v>SINTETICO</x:v>
      </x:c>
    </x:row>
    <x:row r="137">
      <x:c r="A137" t="str">
        <x:v>CASO-0068-to_be</x:v>
      </x:c>
      <x:c r="B137" t="str">
        <x:v>TO-BE</x:v>
      </x:c>
      <x:c r="C137" t="str">
        <x:v>2026-08</x:v>
      </x:c>
      <x:c r="D137" s="26" t="n">
        <x:v>1.476</x:v>
      </x:c>
      <x:c r="E137" s="26" t="n">
        <x:v>21.226</x:v>
      </x:c>
      <x:c r="F137" s="26" t="n">
        <x:v>22.702</x:v>
      </x:c>
      <x:c r="G137" t="n">
        <x:v>0</x:v>
      </x:c>
      <x:c r="H137" t="n">
        <x:v>0</x:v>
      </x:c>
      <x:c r="I137" t="n">
        <x:v>1</x:v>
      </x:c>
      <x:c r="J137" s="28" t="n">
        <x:v>88560</x:v>
      </x:c>
      <x:c r="K137" s="28" t="n">
        <x:v>0</x:v>
      </x:c>
      <x:c r="L137" t="n">
        <x:v>0</x:v>
      </x:c>
      <x:c r="M137" t="str">
        <x:v>SINTETICO</x:v>
      </x:c>
    </x:row>
    <x:row r="138">
      <x:c r="A138" t="str">
        <x:v>CASO-0069-as_is</x:v>
      </x:c>
      <x:c r="B138" t="str">
        <x:v>AS-IS</x:v>
      </x:c>
      <x:c r="C138" t="str">
        <x:v>2026-08</x:v>
      </x:c>
      <x:c r="D138" s="26" t="n">
        <x:v>2.067</x:v>
      </x:c>
      <x:c r="E138" s="26" t="n">
        <x:v>33.835</x:v>
      </x:c>
      <x:c r="F138" s="26" t="n">
        <x:v>35.902</x:v>
      </x:c>
      <x:c r="G138" t="n">
        <x:v>0</x:v>
      </x:c>
      <x:c r="H138" t="n">
        <x:v>0</x:v>
      </x:c>
      <x:c r="I138" t="n">
        <x:v>0</x:v>
      </x:c>
      <x:c r="J138" s="28" t="n">
        <x:v>124020</x:v>
      </x:c>
      <x:c r="K138" s="28" t="n">
        <x:v>0</x:v>
      </x:c>
      <x:c r="L138" t="n">
        <x:v>0</x:v>
      </x:c>
      <x:c r="M138" t="str">
        <x:v>SINTETICO</x:v>
      </x:c>
    </x:row>
    <x:row r="139">
      <x:c r="A139" t="str">
        <x:v>CASO-0069-to_be</x:v>
      </x:c>
      <x:c r="B139" t="str">
        <x:v>TO-BE</x:v>
      </x:c>
      <x:c r="C139" t="str">
        <x:v>2026-08</x:v>
      </x:c>
      <x:c r="D139" s="26" t="n">
        <x:v>0.935</x:v>
      </x:c>
      <x:c r="E139" s="26" t="n">
        <x:v>17.257</x:v>
      </x:c>
      <x:c r="F139" s="26" t="n">
        <x:v>18.192</x:v>
      </x:c>
      <x:c r="G139" t="n">
        <x:v>0</x:v>
      </x:c>
      <x:c r="H139" t="n">
        <x:v>0</x:v>
      </x:c>
      <x:c r="I139" t="n">
        <x:v>1</x:v>
      </x:c>
      <x:c r="J139" s="28" t="n">
        <x:v>56100</x:v>
      </x:c>
      <x:c r="K139" s="28" t="n">
        <x:v>0</x:v>
      </x:c>
      <x:c r="L139" t="n">
        <x:v>0</x:v>
      </x:c>
      <x:c r="M139" t="str">
        <x:v>SINTETICO</x:v>
      </x:c>
    </x:row>
    <x:row r="140">
      <x:c r="A140" t="str">
        <x:v>CASO-0070-as_is</x:v>
      </x:c>
      <x:c r="B140" t="str">
        <x:v>AS-IS</x:v>
      </x:c>
      <x:c r="C140" t="str">
        <x:v>2026-08</x:v>
      </x:c>
      <x:c r="D140" s="26" t="n">
        <x:v>3.03</x:v>
      </x:c>
      <x:c r="E140" s="26" t="n">
        <x:v>42.703</x:v>
      </x:c>
      <x:c r="F140" s="26" t="n">
        <x:v>45.733</x:v>
      </x:c>
      <x:c r="G140" t="n">
        <x:v>0</x:v>
      </x:c>
      <x:c r="H140" t="n">
        <x:v>0</x:v>
      </x:c>
      <x:c r="I140" t="n">
        <x:v>0</x:v>
      </x:c>
      <x:c r="J140" s="28" t="n">
        <x:v>181800</x:v>
      </x:c>
      <x:c r="K140" s="28" t="n">
        <x:v>0</x:v>
      </x:c>
      <x:c r="L140" t="n">
        <x:v>1</x:v>
      </x:c>
      <x:c r="M140" t="str">
        <x:v>SINTETICO</x:v>
      </x:c>
    </x:row>
    <x:row r="141">
      <x:c r="A141" t="str">
        <x:v>CASO-0070-to_be</x:v>
      </x:c>
      <x:c r="B141" t="str">
        <x:v>TO-BE</x:v>
      </x:c>
      <x:c r="C141" t="str">
        <x:v>2026-08</x:v>
      </x:c>
      <x:c r="D141" s="26" t="n">
        <x:v>1.554</x:v>
      </x:c>
      <x:c r="E141" s="26" t="n">
        <x:v>21.117</x:v>
      </x:c>
      <x:c r="F141" s="26" t="n">
        <x:v>22.671</x:v>
      </x:c>
      <x:c r="G141" t="n">
        <x:v>0</x:v>
      </x:c>
      <x:c r="H141" t="n">
        <x:v>0</x:v>
      </x:c>
      <x:c r="I141" t="n">
        <x:v>0</x:v>
      </x:c>
      <x:c r="J141" s="28" t="n">
        <x:v>93240</x:v>
      </x:c>
      <x:c r="K141" s="28" t="n">
        <x:v>0</x:v>
      </x:c>
      <x:c r="L141" t="n">
        <x:v>1</x:v>
      </x:c>
      <x:c r="M141" t="str">
        <x:v>SINTETICO</x:v>
      </x:c>
    </x:row>
    <x:row r="142">
      <x:c r="A142" t="str">
        <x:v>CASO-0071-as_is</x:v>
      </x:c>
      <x:c r="B142" t="str">
        <x:v>AS-IS</x:v>
      </x:c>
      <x:c r="C142" t="str">
        <x:v>2026-08</x:v>
      </x:c>
      <x:c r="D142" s="26" t="n">
        <x:v>3.539</x:v>
      </x:c>
      <x:c r="E142" s="26" t="n">
        <x:v>39.037</x:v>
      </x:c>
      <x:c r="F142" s="26" t="n">
        <x:v>42.576</x:v>
      </x:c>
      <x:c r="G142" t="n">
        <x:v>0</x:v>
      </x:c>
      <x:c r="H142" t="n">
        <x:v>0</x:v>
      </x:c>
      <x:c r="I142" t="n">
        <x:v>0</x:v>
      </x:c>
      <x:c r="J142" s="28" t="n">
        <x:v>212340</x:v>
      </x:c>
      <x:c r="K142" s="28" t="n">
        <x:v>0</x:v>
      </x:c>
      <x:c r="L142" t="n">
        <x:v>0</x:v>
      </x:c>
      <x:c r="M142" t="str">
        <x:v>SINTETICO</x:v>
      </x:c>
    </x:row>
    <x:row r="143">
      <x:c r="A143" t="str">
        <x:v>CASO-0071-to_be</x:v>
      </x:c>
      <x:c r="B143" t="str">
        <x:v>TO-BE</x:v>
      </x:c>
      <x:c r="C143" t="str">
        <x:v>2026-08</x:v>
      </x:c>
      <x:c r="D143" s="26" t="n">
        <x:v>1.432</x:v>
      </x:c>
      <x:c r="E143" s="26" t="n">
        <x:v>26.119</x:v>
      </x:c>
      <x:c r="F143" s="26" t="n">
        <x:v>27.551</x:v>
      </x:c>
      <x:c r="G143" t="n">
        <x:v>0</x:v>
      </x:c>
      <x:c r="H143" t="n">
        <x:v>0</x:v>
      </x:c>
      <x:c r="I143" t="n">
        <x:v>1</x:v>
      </x:c>
      <x:c r="J143" s="28" t="n">
        <x:v>85920</x:v>
      </x:c>
      <x:c r="K143" s="28" t="n">
        <x:v>0</x:v>
      </x:c>
      <x:c r="L143" t="n">
        <x:v>0</x:v>
      </x:c>
      <x:c r="M143" t="str">
        <x:v>SINTETICO</x:v>
      </x:c>
    </x:row>
    <x:row r="144">
      <x:c r="A144" t="str">
        <x:v>CASO-0072-as_is</x:v>
      </x:c>
      <x:c r="B144" t="str">
        <x:v>AS-IS</x:v>
      </x:c>
      <x:c r="C144" t="str">
        <x:v>2026-08</x:v>
      </x:c>
      <x:c r="D144" s="26" t="n">
        <x:v>3.07</x:v>
      </x:c>
      <x:c r="E144" s="26" t="n">
        <x:v>51.129</x:v>
      </x:c>
      <x:c r="F144" s="26" t="n">
        <x:v>54.199</x:v>
      </x:c>
      <x:c r="G144" t="n">
        <x:v>1</x:v>
      </x:c>
      <x:c r="H144" t="n">
        <x:v>0</x:v>
      </x:c>
      <x:c r="I144" t="n">
        <x:v>0</x:v>
      </x:c>
      <x:c r="J144" s="28" t="n">
        <x:v>184200</x:v>
      </x:c>
      <x:c r="K144" s="28" t="n">
        <x:v>70000</x:v>
      </x:c>
      <x:c r="L144" t="n">
        <x:v>0</x:v>
      </x:c>
      <x:c r="M144" t="str">
        <x:v>SINTETICO</x:v>
      </x:c>
    </x:row>
    <x:row r="145">
      <x:c r="A145" t="str">
        <x:v>CASO-0072-to_be</x:v>
      </x:c>
      <x:c r="B145" t="str">
        <x:v>TO-BE</x:v>
      </x:c>
      <x:c r="C145" t="str">
        <x:v>2026-08</x:v>
      </x:c>
      <x:c r="D145" s="26" t="n">
        <x:v>1.051</x:v>
      </x:c>
      <x:c r="E145" s="26" t="n">
        <x:v>17.938</x:v>
      </x:c>
      <x:c r="F145" s="26" t="n">
        <x:v>18.989</x:v>
      </x:c>
      <x:c r="G145" t="n">
        <x:v>0</x:v>
      </x:c>
      <x:c r="H145" t="n">
        <x:v>0</x:v>
      </x:c>
      <x:c r="I145" t="n">
        <x:v>1</x:v>
      </x:c>
      <x:c r="J145" s="28" t="n">
        <x:v>63060</x:v>
      </x:c>
      <x:c r="K145" s="28" t="n">
        <x:v>0</x:v>
      </x:c>
      <x:c r="L145" t="n">
        <x:v>0</x:v>
      </x:c>
      <x:c r="M145" t="str">
        <x:v>SINTETICO</x:v>
      </x:c>
    </x:row>
    <x:row r="146">
      <x:c r="A146" t="str">
        <x:v>CASO-0073-as_is</x:v>
      </x:c>
      <x:c r="B146" t="str">
        <x:v>AS-IS</x:v>
      </x:c>
      <x:c r="C146" t="str">
        <x:v>2026-08</x:v>
      </x:c>
      <x:c r="D146" s="26" t="n">
        <x:v>3.355</x:v>
      </x:c>
      <x:c r="E146" s="26" t="n">
        <x:v>38.876</x:v>
      </x:c>
      <x:c r="F146" s="26" t="n">
        <x:v>42.231</x:v>
      </x:c>
      <x:c r="G146" t="n">
        <x:v>1</x:v>
      </x:c>
      <x:c r="H146" t="n">
        <x:v>0</x:v>
      </x:c>
      <x:c r="I146" t="n">
        <x:v>0</x:v>
      </x:c>
      <x:c r="J146" s="28" t="n">
        <x:v>201300</x:v>
      </x:c>
      <x:c r="K146" s="28" t="n">
        <x:v>70000</x:v>
      </x:c>
      <x:c r="L146" t="n">
        <x:v>0</x:v>
      </x:c>
      <x:c r="M146" t="str">
        <x:v>SINTETICO</x:v>
      </x:c>
    </x:row>
    <x:row r="147">
      <x:c r="A147" t="str">
        <x:v>CASO-0073-to_be</x:v>
      </x:c>
      <x:c r="B147" t="str">
        <x:v>TO-BE</x:v>
      </x:c>
      <x:c r="C147" t="str">
        <x:v>2026-08</x:v>
      </x:c>
      <x:c r="D147" s="26" t="n">
        <x:v>1.226</x:v>
      </x:c>
      <x:c r="E147" s="26" t="n">
        <x:v>16.904</x:v>
      </x:c>
      <x:c r="F147" s="26" t="n">
        <x:v>18.13</x:v>
      </x:c>
      <x:c r="G147" t="n">
        <x:v>0</x:v>
      </x:c>
      <x:c r="H147" t="n">
        <x:v>1</x:v>
      </x:c>
      <x:c r="I147" t="n">
        <x:v>0</x:v>
      </x:c>
      <x:c r="J147" s="28" t="n">
        <x:v>73560</x:v>
      </x:c>
      <x:c r="K147" s="28" t="n">
        <x:v>0</x:v>
      </x:c>
      <x:c r="L147" t="n">
        <x:v>0</x:v>
      </x:c>
      <x:c r="M147" t="str">
        <x:v>SINTETICO</x:v>
      </x:c>
    </x:row>
    <x:row r="148">
      <x:c r="A148" t="str">
        <x:v>CASO-0074-as_is</x:v>
      </x:c>
      <x:c r="B148" t="str">
        <x:v>AS-IS</x:v>
      </x:c>
      <x:c r="C148" t="str">
        <x:v>2026-08</x:v>
      </x:c>
      <x:c r="D148" s="26" t="n">
        <x:v>3.282</x:v>
      </x:c>
      <x:c r="E148" s="26" t="n">
        <x:v>33.42</x:v>
      </x:c>
      <x:c r="F148" s="26" t="n">
        <x:v>36.702</x:v>
      </x:c>
      <x:c r="G148" t="n">
        <x:v>0</x:v>
      </x:c>
      <x:c r="H148" t="n">
        <x:v>1</x:v>
      </x:c>
      <x:c r="I148" t="n">
        <x:v>0</x:v>
      </x:c>
      <x:c r="J148" s="28" t="n">
        <x:v>196920</x:v>
      </x:c>
      <x:c r="K148" s="28" t="n">
        <x:v>0</x:v>
      </x:c>
      <x:c r="L148" t="n">
        <x:v>0</x:v>
      </x:c>
      <x:c r="M148" t="str">
        <x:v>SINTETICO</x:v>
      </x:c>
    </x:row>
    <x:row r="149">
      <x:c r="A149" t="str">
        <x:v>CASO-0074-to_be</x:v>
      </x:c>
      <x:c r="B149" t="str">
        <x:v>TO-BE</x:v>
      </x:c>
      <x:c r="C149" t="str">
        <x:v>2026-08</x:v>
      </x:c>
      <x:c r="D149" s="26" t="n">
        <x:v>1.119</x:v>
      </x:c>
      <x:c r="E149" s="26" t="n">
        <x:v>25.861</x:v>
      </x:c>
      <x:c r="F149" s="26" t="n">
        <x:v>26.98</x:v>
      </x:c>
      <x:c r="G149" t="n">
        <x:v>0</x:v>
      </x:c>
      <x:c r="H149" t="n">
        <x:v>0</x:v>
      </x:c>
      <x:c r="I149" t="n">
        <x:v>1</x:v>
      </x:c>
      <x:c r="J149" s="28" t="n">
        <x:v>67140</x:v>
      </x:c>
      <x:c r="K149" s="28" t="n">
        <x:v>0</x:v>
      </x:c>
      <x:c r="L149" t="n">
        <x:v>0</x:v>
      </x:c>
      <x:c r="M149" t="str">
        <x:v>SINTETICO</x:v>
      </x:c>
    </x:row>
    <x:row r="150">
      <x:c r="A150" t="str">
        <x:v>CASO-0075-as_is</x:v>
      </x:c>
      <x:c r="B150" t="str">
        <x:v>AS-IS</x:v>
      </x:c>
      <x:c r="C150" t="str">
        <x:v>2026-08</x:v>
      </x:c>
      <x:c r="D150" s="26" t="n">
        <x:v>2.633</x:v>
      </x:c>
      <x:c r="E150" s="26" t="n">
        <x:v>39.994</x:v>
      </x:c>
      <x:c r="F150" s="26" t="n">
        <x:v>42.627</x:v>
      </x:c>
      <x:c r="G150" t="n">
        <x:v>0</x:v>
      </x:c>
      <x:c r="H150" t="n">
        <x:v>0</x:v>
      </x:c>
      <x:c r="I150" t="n">
        <x:v>0</x:v>
      </x:c>
      <x:c r="J150" s="28" t="n">
        <x:v>157980</x:v>
      </x:c>
      <x:c r="K150" s="28" t="n">
        <x:v>0</x:v>
      </x:c>
      <x:c r="L150" t="n">
        <x:v>1</x:v>
      </x:c>
      <x:c r="M150" t="str">
        <x:v>SINTETICO</x:v>
      </x:c>
    </x:row>
    <x:row r="151">
      <x:c r="A151" t="str">
        <x:v>CASO-0075-to_be</x:v>
      </x:c>
      <x:c r="B151" t="str">
        <x:v>TO-BE</x:v>
      </x:c>
      <x:c r="C151" t="str">
        <x:v>2026-08</x:v>
      </x:c>
      <x:c r="D151" s="26" t="n">
        <x:v>1.09</x:v>
      </x:c>
      <x:c r="E151" s="26" t="n">
        <x:v>26.924</x:v>
      </x:c>
      <x:c r="F151" s="26" t="n">
        <x:v>28.014</x:v>
      </x:c>
      <x:c r="G151" t="n">
        <x:v>0</x:v>
      </x:c>
      <x:c r="H151" t="n">
        <x:v>0</x:v>
      </x:c>
      <x:c r="I151" t="n">
        <x:v>0</x:v>
      </x:c>
      <x:c r="J151" s="28" t="n">
        <x:v>65400</x:v>
      </x:c>
      <x:c r="K151" s="28" t="n">
        <x:v>0</x:v>
      </x:c>
      <x:c r="L151" t="n">
        <x:v>1</x:v>
      </x:c>
      <x:c r="M151" t="str">
        <x:v>SINTETICO</x:v>
      </x:c>
    </x:row>
    <x:row r="152">
      <x:c r="A152" t="str">
        <x:v>CASO-0076-as_is</x:v>
      </x:c>
      <x:c r="B152" t="str">
        <x:v>AS-IS</x:v>
      </x:c>
      <x:c r="C152" t="str">
        <x:v>2026-08</x:v>
      </x:c>
      <x:c r="D152" s="26" t="n">
        <x:v>3.075</x:v>
      </x:c>
      <x:c r="E152" s="26" t="n">
        <x:v>41.984</x:v>
      </x:c>
      <x:c r="F152" s="26" t="n">
        <x:v>45.059</x:v>
      </x:c>
      <x:c r="G152" t="n">
        <x:v>0</x:v>
      </x:c>
      <x:c r="H152" t="n">
        <x:v>0</x:v>
      </x:c>
      <x:c r="I152" t="n">
        <x:v>0</x:v>
      </x:c>
      <x:c r="J152" s="28" t="n">
        <x:v>184500</x:v>
      </x:c>
      <x:c r="K152" s="28" t="n">
        <x:v>0</x:v>
      </x:c>
      <x:c r="L152" t="n">
        <x:v>0</x:v>
      </x:c>
      <x:c r="M152" t="str">
        <x:v>SINTETICO</x:v>
      </x:c>
    </x:row>
    <x:row r="153">
      <x:c r="A153" t="str">
        <x:v>CASO-0076-to_be</x:v>
      </x:c>
      <x:c r="B153" t="str">
        <x:v>TO-BE</x:v>
      </x:c>
      <x:c r="C153" t="str">
        <x:v>2026-08</x:v>
      </x:c>
      <x:c r="D153" s="26" t="n">
        <x:v>1.203</x:v>
      </x:c>
      <x:c r="E153" s="26" t="n">
        <x:v>17.653</x:v>
      </x:c>
      <x:c r="F153" s="26" t="n">
        <x:v>18.856</x:v>
      </x:c>
      <x:c r="G153" t="n">
        <x:v>0</x:v>
      </x:c>
      <x:c r="H153" t="n">
        <x:v>1</x:v>
      </x:c>
      <x:c r="I153" t="n">
        <x:v>1</x:v>
      </x:c>
      <x:c r="J153" s="28" t="n">
        <x:v>72180</x:v>
      </x:c>
      <x:c r="K153" s="28" t="n">
        <x:v>0</x:v>
      </x:c>
      <x:c r="L153" t="n">
        <x:v>0</x:v>
      </x:c>
      <x:c r="M153" t="str">
        <x:v>SINTETICO</x:v>
      </x:c>
    </x:row>
    <x:row r="154">
      <x:c r="A154" t="str">
        <x:v>CASO-0077-as_is</x:v>
      </x:c>
      <x:c r="B154" t="str">
        <x:v>AS-IS</x:v>
      </x:c>
      <x:c r="C154" t="str">
        <x:v>2026-08</x:v>
      </x:c>
      <x:c r="D154" s="26" t="n">
        <x:v>3.719</x:v>
      </x:c>
      <x:c r="E154" s="26" t="n">
        <x:v>37.62</x:v>
      </x:c>
      <x:c r="F154" s="26" t="n">
        <x:v>41.339</x:v>
      </x:c>
      <x:c r="G154" t="n">
        <x:v>0</x:v>
      </x:c>
      <x:c r="H154" t="n">
        <x:v>0</x:v>
      </x:c>
      <x:c r="I154" t="n">
        <x:v>0</x:v>
      </x:c>
      <x:c r="J154" s="28" t="n">
        <x:v>223140</x:v>
      </x:c>
      <x:c r="K154" s="28" t="n">
        <x:v>0</x:v>
      </x:c>
      <x:c r="L154" t="n">
        <x:v>0</x:v>
      </x:c>
      <x:c r="M154" t="str">
        <x:v>SINTETICO</x:v>
      </x:c>
    </x:row>
    <x:row r="155">
      <x:c r="A155" t="str">
        <x:v>CASO-0077-to_be</x:v>
      </x:c>
      <x:c r="B155" t="str">
        <x:v>TO-BE</x:v>
      </x:c>
      <x:c r="C155" t="str">
        <x:v>2026-08</x:v>
      </x:c>
      <x:c r="D155" s="26" t="n">
        <x:v>1.234</x:v>
      </x:c>
      <x:c r="E155" s="26" t="n">
        <x:v>25.588</x:v>
      </x:c>
      <x:c r="F155" s="26" t="n">
        <x:v>26.822</x:v>
      </x:c>
      <x:c r="G155" t="n">
        <x:v>0</x:v>
      </x:c>
      <x:c r="H155" t="n">
        <x:v>0</x:v>
      </x:c>
      <x:c r="I155" t="n">
        <x:v>1</x:v>
      </x:c>
      <x:c r="J155" s="28" t="n">
        <x:v>74040</x:v>
      </x:c>
      <x:c r="K155" s="28" t="n">
        <x:v>0</x:v>
      </x:c>
      <x:c r="L155" t="n">
        <x:v>0</x:v>
      </x:c>
      <x:c r="M155" t="str">
        <x:v>SINTETICO</x:v>
      </x:c>
    </x:row>
    <x:row r="156">
      <x:c r="A156" t="str">
        <x:v>CASO-0078-as_is</x:v>
      </x:c>
      <x:c r="B156" t="str">
        <x:v>AS-IS</x:v>
      </x:c>
      <x:c r="C156" t="str">
        <x:v>2026-08</x:v>
      </x:c>
      <x:c r="D156" s="26" t="n">
        <x:v>3.12</x:v>
      </x:c>
      <x:c r="E156" s="26" t="n">
        <x:v>45.334</x:v>
      </x:c>
      <x:c r="F156" s="26" t="n">
        <x:v>48.454</x:v>
      </x:c>
      <x:c r="G156" t="n">
        <x:v>0</x:v>
      </x:c>
      <x:c r="H156" t="n">
        <x:v>0</x:v>
      </x:c>
      <x:c r="I156" t="n">
        <x:v>0</x:v>
      </x:c>
      <x:c r="J156" s="28" t="n">
        <x:v>187200</x:v>
      </x:c>
      <x:c r="K156" s="28" t="n">
        <x:v>0</x:v>
      </x:c>
      <x:c r="L156" t="n">
        <x:v>1</x:v>
      </x:c>
      <x:c r="M156" t="str">
        <x:v>SINTETICO</x:v>
      </x:c>
    </x:row>
    <x:row r="157">
      <x:c r="A157" t="str">
        <x:v>CASO-0078-to_be</x:v>
      </x:c>
      <x:c r="B157" t="str">
        <x:v>TO-BE</x:v>
      </x:c>
      <x:c r="C157" t="str">
        <x:v>2026-08</x:v>
      </x:c>
      <x:c r="D157" s="26" t="n">
        <x:v>1.04</x:v>
      </x:c>
      <x:c r="E157" s="26" t="n">
        <x:v>27.22</x:v>
      </x:c>
      <x:c r="F157" s="26" t="n">
        <x:v>28.26</x:v>
      </x:c>
      <x:c r="G157" t="n">
        <x:v>0</x:v>
      </x:c>
      <x:c r="H157" t="n">
        <x:v>0</x:v>
      </x:c>
      <x:c r="I157" t="n">
        <x:v>0</x:v>
      </x:c>
      <x:c r="J157" s="28" t="n">
        <x:v>62400</x:v>
      </x:c>
      <x:c r="K157" s="28" t="n">
        <x:v>0</x:v>
      </x:c>
      <x:c r="L157" t="n">
        <x:v>1</x:v>
      </x:c>
      <x:c r="M157" t="str">
        <x:v>SINTETICO</x:v>
      </x:c>
    </x:row>
    <x:row r="158">
      <x:c r="A158" t="str">
        <x:v>CASO-0079-as_is</x:v>
      </x:c>
      <x:c r="B158" t="str">
        <x:v>AS-IS</x:v>
      </x:c>
      <x:c r="C158" t="str">
        <x:v>2026-08</x:v>
      </x:c>
      <x:c r="D158" s="26" t="n">
        <x:v>2.675</x:v>
      </x:c>
      <x:c r="E158" s="26" t="n">
        <x:v>43.301</x:v>
      </x:c>
      <x:c r="F158" s="26" t="n">
        <x:v>45.976</x:v>
      </x:c>
      <x:c r="G158" t="n">
        <x:v>0</x:v>
      </x:c>
      <x:c r="H158" t="n">
        <x:v>1</x:v>
      </x:c>
      <x:c r="I158" t="n">
        <x:v>0</x:v>
      </x:c>
      <x:c r="J158" s="28" t="n">
        <x:v>160500</x:v>
      </x:c>
      <x:c r="K158" s="28" t="n">
        <x:v>0</x:v>
      </x:c>
      <x:c r="L158" t="n">
        <x:v>0</x:v>
      </x:c>
      <x:c r="M158" t="str">
        <x:v>SINTETICO</x:v>
      </x:c>
    </x:row>
    <x:row r="159">
      <x:c r="A159" t="str">
        <x:v>CASO-0079-to_be</x:v>
      </x:c>
      <x:c r="B159" t="str">
        <x:v>TO-BE</x:v>
      </x:c>
      <x:c r="C159" t="str">
        <x:v>2026-08</x:v>
      </x:c>
      <x:c r="D159" s="26" t="n">
        <x:v>1.053</x:v>
      </x:c>
      <x:c r="E159" s="26" t="n">
        <x:v>23.93</x:v>
      </x:c>
      <x:c r="F159" s="26" t="n">
        <x:v>24.983</x:v>
      </x:c>
      <x:c r="G159" t="n">
        <x:v>0</x:v>
      </x:c>
      <x:c r="H159" t="n">
        <x:v>0</x:v>
      </x:c>
      <x:c r="I159" t="n">
        <x:v>1</x:v>
      </x:c>
      <x:c r="J159" s="28" t="n">
        <x:v>63180</x:v>
      </x:c>
      <x:c r="K159" s="28" t="n">
        <x:v>0</x:v>
      </x:c>
      <x:c r="L159" t="n">
        <x:v>0</x:v>
      </x:c>
      <x:c r="M159" t="str">
        <x:v>SINTETICO</x:v>
      </x:c>
    </x:row>
    <x:row r="160">
      <x:c r="A160" t="str">
        <x:v>CASO-0080-as_is</x:v>
      </x:c>
      <x:c r="B160" t="str">
        <x:v>AS-IS</x:v>
      </x:c>
      <x:c r="C160" t="str">
        <x:v>2026-08</x:v>
      </x:c>
      <x:c r="D160" s="26" t="n">
        <x:v>3.092</x:v>
      </x:c>
      <x:c r="E160" s="26" t="n">
        <x:v>38.611</x:v>
      </x:c>
      <x:c r="F160" s="26" t="n">
        <x:v>41.703</x:v>
      </x:c>
      <x:c r="G160" t="n">
        <x:v>0</x:v>
      </x:c>
      <x:c r="H160" t="n">
        <x:v>0</x:v>
      </x:c>
      <x:c r="I160" t="n">
        <x:v>0</x:v>
      </x:c>
      <x:c r="J160" s="28" t="n">
        <x:v>185520</x:v>
      </x:c>
      <x:c r="K160" s="28" t="n">
        <x:v>0</x:v>
      </x:c>
      <x:c r="L160" t="n">
        <x:v>1</x:v>
      </x:c>
      <x:c r="M160" t="str">
        <x:v>SINTETICO</x:v>
      </x:c>
    </x:row>
    <x:row r="161">
      <x:c r="A161" t="str">
        <x:v>CASO-0080-to_be</x:v>
      </x:c>
      <x:c r="B161" t="str">
        <x:v>TO-BE</x:v>
      </x:c>
      <x:c r="C161" t="str">
        <x:v>2026-08</x:v>
      </x:c>
      <x:c r="D161" s="26" t="n">
        <x:v>1.469</x:v>
      </x:c>
      <x:c r="E161" s="26" t="n">
        <x:v>18.439</x:v>
      </x:c>
      <x:c r="F161" s="26" t="n">
        <x:v>19.908</x:v>
      </x:c>
      <x:c r="G161" t="n">
        <x:v>0</x:v>
      </x:c>
      <x:c r="H161" t="n">
        <x:v>1</x:v>
      </x:c>
      <x:c r="I161" t="n">
        <x:v>1</x:v>
      </x:c>
      <x:c r="J161" s="28" t="n">
        <x:v>88140</x:v>
      </x:c>
      <x:c r="K161" s="28" t="n">
        <x:v>0</x:v>
      </x:c>
      <x:c r="L161" t="n">
        <x:v>1</x:v>
      </x:c>
      <x:c r="M161" t="str">
        <x:v>SINTETICO</x:v>
      </x:c>
    </x:row>
    <x:row r="162">
      <x:c r="A162" t="str">
        <x:v>CASO-0081-as_is</x:v>
      </x:c>
      <x:c r="B162" t="str">
        <x:v>AS-IS</x:v>
      </x:c>
      <x:c r="C162" t="str">
        <x:v>2026-08</x:v>
      </x:c>
      <x:c r="D162" s="26" t="n">
        <x:v>3.053</x:v>
      </x:c>
      <x:c r="E162" s="26" t="n">
        <x:v>31.61</x:v>
      </x:c>
      <x:c r="F162" s="26" t="n">
        <x:v>34.663</x:v>
      </x:c>
      <x:c r="G162" t="n">
        <x:v>1</x:v>
      </x:c>
      <x:c r="H162" t="n">
        <x:v>1</x:v>
      </x:c>
      <x:c r="I162" t="n">
        <x:v>0</x:v>
      </x:c>
      <x:c r="J162" s="28" t="n">
        <x:v>183180</x:v>
      </x:c>
      <x:c r="K162" s="28" t="n">
        <x:v>70000</x:v>
      </x:c>
      <x:c r="L162" t="n">
        <x:v>1</x:v>
      </x:c>
      <x:c r="M162" t="str">
        <x:v>SINTETICO</x:v>
      </x:c>
    </x:row>
    <x:row r="163">
      <x:c r="A163" t="str">
        <x:v>CASO-0081-to_be</x:v>
      </x:c>
      <x:c r="B163" t="str">
        <x:v>TO-BE</x:v>
      </x:c>
      <x:c r="C163" t="str">
        <x:v>2026-08</x:v>
      </x:c>
      <x:c r="D163" s="26" t="n">
        <x:v>1.135</x:v>
      </x:c>
      <x:c r="E163" s="26" t="n">
        <x:v>18.263</x:v>
      </x:c>
      <x:c r="F163" s="26" t="n">
        <x:v>19.398</x:v>
      </x:c>
      <x:c r="G163" t="n">
        <x:v>0</x:v>
      </x:c>
      <x:c r="H163" t="n">
        <x:v>0</x:v>
      </x:c>
      <x:c r="I163" t="n">
        <x:v>1</x:v>
      </x:c>
      <x:c r="J163" s="28" t="n">
        <x:v>68100</x:v>
      </x:c>
      <x:c r="K163" s="28" t="n">
        <x:v>0</x:v>
      </x:c>
      <x:c r="L163" t="n">
        <x:v>1</x:v>
      </x:c>
      <x:c r="M163" t="str">
        <x:v>SINTETICO</x:v>
      </x:c>
    </x:row>
    <x:row r="164">
      <x:c r="A164" t="str">
        <x:v>CASO-0082-as_is</x:v>
      </x:c>
      <x:c r="B164" t="str">
        <x:v>AS-IS</x:v>
      </x:c>
      <x:c r="C164" t="str">
        <x:v>2026-08</x:v>
      </x:c>
      <x:c r="D164" s="26" t="n">
        <x:v>2.047</x:v>
      </x:c>
      <x:c r="E164" s="26" t="n">
        <x:v>26.662</x:v>
      </x:c>
      <x:c r="F164" s="26" t="n">
        <x:v>28.709</x:v>
      </x:c>
      <x:c r="G164" t="n">
        <x:v>0</x:v>
      </x:c>
      <x:c r="H164" t="n">
        <x:v>0</x:v>
      </x:c>
      <x:c r="I164" t="n">
        <x:v>0</x:v>
      </x:c>
      <x:c r="J164" s="28" t="n">
        <x:v>122820</x:v>
      </x:c>
      <x:c r="K164" s="28" t="n">
        <x:v>0</x:v>
      </x:c>
      <x:c r="L164" t="n">
        <x:v>0</x:v>
      </x:c>
      <x:c r="M164" t="str">
        <x:v>SINTETICO</x:v>
      </x:c>
    </x:row>
    <x:row r="165">
      <x:c r="A165" t="str">
        <x:v>CASO-0082-to_be</x:v>
      </x:c>
      <x:c r="B165" t="str">
        <x:v>TO-BE</x:v>
      </x:c>
      <x:c r="C165" t="str">
        <x:v>2026-08</x:v>
      </x:c>
      <x:c r="D165" s="26" t="n">
        <x:v>0.767</x:v>
      </x:c>
      <x:c r="E165" s="26" t="n">
        <x:v>17.629</x:v>
      </x:c>
      <x:c r="F165" s="26" t="n">
        <x:v>18.396</x:v>
      </x:c>
      <x:c r="G165" t="n">
        <x:v>0</x:v>
      </x:c>
      <x:c r="H165" t="n">
        <x:v>0</x:v>
      </x:c>
      <x:c r="I165" t="n">
        <x:v>0</x:v>
      </x:c>
      <x:c r="J165" s="28" t="n">
        <x:v>46020</x:v>
      </x:c>
      <x:c r="K165" s="28" t="n">
        <x:v>0</x:v>
      </x:c>
      <x:c r="L165" t="n">
        <x:v>0</x:v>
      </x:c>
      <x:c r="M165" t="str">
        <x:v>SINTETICO</x:v>
      </x:c>
    </x:row>
    <x:row r="166">
      <x:c r="A166" t="str">
        <x:v>CASO-0083-as_is</x:v>
      </x:c>
      <x:c r="B166" t="str">
        <x:v>AS-IS</x:v>
      </x:c>
      <x:c r="C166" t="str">
        <x:v>2026-08</x:v>
      </x:c>
      <x:c r="D166" s="26" t="n">
        <x:v>2.728</x:v>
      </x:c>
      <x:c r="E166" s="26" t="n">
        <x:v>30.272</x:v>
      </x:c>
      <x:c r="F166" s="26" t="n">
        <x:v>33</x:v>
      </x:c>
      <x:c r="G166" t="n">
        <x:v>0</x:v>
      </x:c>
      <x:c r="H166" t="n">
        <x:v>0</x:v>
      </x:c>
      <x:c r="I166" t="n">
        <x:v>0</x:v>
      </x:c>
      <x:c r="J166" s="28" t="n">
        <x:v>163680</x:v>
      </x:c>
      <x:c r="K166" s="28" t="n">
        <x:v>0</x:v>
      </x:c>
      <x:c r="L166" t="n">
        <x:v>0</x:v>
      </x:c>
      <x:c r="M166" t="str">
        <x:v>SINTETICO</x:v>
      </x:c>
    </x:row>
    <x:row r="167">
      <x:c r="A167" t="str">
        <x:v>CASO-0083-to_be</x:v>
      </x:c>
      <x:c r="B167" t="str">
        <x:v>TO-BE</x:v>
      </x:c>
      <x:c r="C167" t="str">
        <x:v>2026-08</x:v>
      </x:c>
      <x:c r="D167" s="26" t="n">
        <x:v>1.061</x:v>
      </x:c>
      <x:c r="E167" s="26" t="n">
        <x:v>20.712</x:v>
      </x:c>
      <x:c r="F167" s="26" t="n">
        <x:v>21.773</x:v>
      </x:c>
      <x:c r="G167" t="n">
        <x:v>0</x:v>
      </x:c>
      <x:c r="H167" t="n">
        <x:v>1</x:v>
      </x:c>
      <x:c r="I167" t="n">
        <x:v>1</x:v>
      </x:c>
      <x:c r="J167" s="28" t="n">
        <x:v>63660</x:v>
      </x:c>
      <x:c r="K167" s="28" t="n">
        <x:v>0</x:v>
      </x:c>
      <x:c r="L167" t="n">
        <x:v>0</x:v>
      </x:c>
      <x:c r="M167" t="str">
        <x:v>SINTETICO</x:v>
      </x:c>
    </x:row>
    <x:row r="168">
      <x:c r="A168" t="str">
        <x:v>CASO-0084-as_is</x:v>
      </x:c>
      <x:c r="B168" t="str">
        <x:v>AS-IS</x:v>
      </x:c>
      <x:c r="C168" t="str">
        <x:v>2026-08</x:v>
      </x:c>
      <x:c r="D168" s="26" t="n">
        <x:v>3.22</x:v>
      </x:c>
      <x:c r="E168" s="26" t="n">
        <x:v>65.085</x:v>
      </x:c>
      <x:c r="F168" s="26" t="n">
        <x:v>68.305</x:v>
      </x:c>
      <x:c r="G168" t="n">
        <x:v>0</x:v>
      </x:c>
      <x:c r="H168" t="n">
        <x:v>1</x:v>
      </x:c>
      <x:c r="I168" t="n">
        <x:v>0</x:v>
      </x:c>
      <x:c r="J168" s="28" t="n">
        <x:v>193200</x:v>
      </x:c>
      <x:c r="K168" s="28" t="n">
        <x:v>0</x:v>
      </x:c>
      <x:c r="L168" t="n">
        <x:v>0</x:v>
      </x:c>
      <x:c r="M168" t="str">
        <x:v>SINTETICO</x:v>
      </x:c>
    </x:row>
    <x:row r="169">
      <x:c r="A169" t="str">
        <x:v>CASO-0084-to_be</x:v>
      </x:c>
      <x:c r="B169" t="str">
        <x:v>TO-BE</x:v>
      </x:c>
      <x:c r="C169" t="str">
        <x:v>2026-08</x:v>
      </x:c>
      <x:c r="D169" s="26" t="n">
        <x:v>1.59</x:v>
      </x:c>
      <x:c r="E169" s="26" t="n">
        <x:v>31.995</x:v>
      </x:c>
      <x:c r="F169" s="26" t="n">
        <x:v>33.585</x:v>
      </x:c>
      <x:c r="G169" t="n">
        <x:v>0</x:v>
      </x:c>
      <x:c r="H169" t="n">
        <x:v>0</x:v>
      </x:c>
      <x:c r="I169" t="n">
        <x:v>1</x:v>
      </x:c>
      <x:c r="J169" s="28" t="n">
        <x:v>95400</x:v>
      </x:c>
      <x:c r="K169" s="28" t="n">
        <x:v>0</x:v>
      </x:c>
      <x:c r="L169" t="n">
        <x:v>0</x:v>
      </x:c>
      <x:c r="M169" t="str">
        <x:v>SINTETICO</x:v>
      </x:c>
    </x:row>
    <x:row r="170">
      <x:c r="A170" t="str">
        <x:v>CASO-0085-as_is</x:v>
      </x:c>
      <x:c r="B170" t="str">
        <x:v>AS-IS</x:v>
      </x:c>
      <x:c r="C170" t="str">
        <x:v>2026-08</x:v>
      </x:c>
      <x:c r="D170" s="26" t="n">
        <x:v>2.558</x:v>
      </x:c>
      <x:c r="E170" s="26" t="n">
        <x:v>50.908</x:v>
      </x:c>
      <x:c r="F170" s="26" t="n">
        <x:v>53.466</x:v>
      </x:c>
      <x:c r="G170" t="n">
        <x:v>0</x:v>
      </x:c>
      <x:c r="H170" t="n">
        <x:v>0</x:v>
      </x:c>
      <x:c r="I170" t="n">
        <x:v>0</x:v>
      </x:c>
      <x:c r="J170" s="28" t="n">
        <x:v>153480</x:v>
      </x:c>
      <x:c r="K170" s="28" t="n">
        <x:v>0</x:v>
      </x:c>
      <x:c r="L170" t="n">
        <x:v>1</x:v>
      </x:c>
      <x:c r="M170" t="str">
        <x:v>SINTETICO</x:v>
      </x:c>
    </x:row>
    <x:row r="171">
      <x:c r="A171" t="str">
        <x:v>CASO-0085-to_be</x:v>
      </x:c>
      <x:c r="B171" t="str">
        <x:v>TO-BE</x:v>
      </x:c>
      <x:c r="C171" t="str">
        <x:v>2026-08</x:v>
      </x:c>
      <x:c r="D171" s="26" t="n">
        <x:v>1.023</x:v>
      </x:c>
      <x:c r="E171" s="26" t="n">
        <x:v>22.8</x:v>
      </x:c>
      <x:c r="F171" s="26" t="n">
        <x:v>23.823</x:v>
      </x:c>
      <x:c r="G171" t="n">
        <x:v>0</x:v>
      </x:c>
      <x:c r="H171" t="n">
        <x:v>1</x:v>
      </x:c>
      <x:c r="I171" t="n">
        <x:v>1</x:v>
      </x:c>
      <x:c r="J171" s="28" t="n">
        <x:v>61380</x:v>
      </x:c>
      <x:c r="K171" s="28" t="n">
        <x:v>0</x:v>
      </x:c>
      <x:c r="L171" t="n">
        <x:v>1</x:v>
      </x:c>
      <x:c r="M171" t="str">
        <x:v>SINTETICO</x:v>
      </x:c>
    </x:row>
    <x:row r="172">
      <x:c r="A172" t="str">
        <x:v>CASO-0086-as_is</x:v>
      </x:c>
      <x:c r="B172" t="str">
        <x:v>AS-IS</x:v>
      </x:c>
      <x:c r="C172" t="str">
        <x:v>2026-08</x:v>
      </x:c>
      <x:c r="D172" s="26" t="n">
        <x:v>2.619</x:v>
      </x:c>
      <x:c r="E172" s="26" t="n">
        <x:v>25.956</x:v>
      </x:c>
      <x:c r="F172" s="26" t="n">
        <x:v>28.575</x:v>
      </x:c>
      <x:c r="G172" t="n">
        <x:v>1</x:v>
      </x:c>
      <x:c r="H172" t="n">
        <x:v>1</x:v>
      </x:c>
      <x:c r="I172" t="n">
        <x:v>0</x:v>
      </x:c>
      <x:c r="J172" s="28" t="n">
        <x:v>157140</x:v>
      </x:c>
      <x:c r="K172" s="28" t="n">
        <x:v>70000</x:v>
      </x:c>
      <x:c r="L172" t="n">
        <x:v>0</x:v>
      </x:c>
      <x:c r="M172" t="str">
        <x:v>SINTETICO</x:v>
      </x:c>
    </x:row>
    <x:row r="173">
      <x:c r="A173" t="str">
        <x:v>CASO-0086-to_be</x:v>
      </x:c>
      <x:c r="B173" t="str">
        <x:v>TO-BE</x:v>
      </x:c>
      <x:c r="C173" t="str">
        <x:v>2026-08</x:v>
      </x:c>
      <x:c r="D173" s="26" t="n">
        <x:v>0.987</x:v>
      </x:c>
      <x:c r="E173" s="26" t="n">
        <x:v>17.012</x:v>
      </x:c>
      <x:c r="F173" s="26" t="n">
        <x:v>17.999</x:v>
      </x:c>
      <x:c r="G173" t="n">
        <x:v>0</x:v>
      </x:c>
      <x:c r="H173" t="n">
        <x:v>0</x:v>
      </x:c>
      <x:c r="I173" t="n">
        <x:v>1</x:v>
      </x:c>
      <x:c r="J173" s="28" t="n">
        <x:v>59220</x:v>
      </x:c>
      <x:c r="K173" s="28" t="n">
        <x:v>0</x:v>
      </x:c>
      <x:c r="L173" t="n">
        <x:v>0</x:v>
      </x:c>
      <x:c r="M173" t="str">
        <x:v>SINTETICO</x:v>
      </x:c>
    </x:row>
    <x:row r="174">
      <x:c r="A174" t="str">
        <x:v>CASO-0087-as_is</x:v>
      </x:c>
      <x:c r="B174" t="str">
        <x:v>AS-IS</x:v>
      </x:c>
      <x:c r="C174" t="str">
        <x:v>2026-08</x:v>
      </x:c>
      <x:c r="D174" s="26" t="n">
        <x:v>2.758</x:v>
      </x:c>
      <x:c r="E174" s="26" t="n">
        <x:v>49.16</x:v>
      </x:c>
      <x:c r="F174" s="26" t="n">
        <x:v>51.918</x:v>
      </x:c>
      <x:c r="G174" t="n">
        <x:v>0</x:v>
      </x:c>
      <x:c r="H174" t="n">
        <x:v>0</x:v>
      </x:c>
      <x:c r="I174" t="n">
        <x:v>0</x:v>
      </x:c>
      <x:c r="J174" s="28" t="n">
        <x:v>165480</x:v>
      </x:c>
      <x:c r="K174" s="28" t="n">
        <x:v>0</x:v>
      </x:c>
      <x:c r="L174" t="n">
        <x:v>1</x:v>
      </x:c>
      <x:c r="M174" t="str">
        <x:v>SINTETICO</x:v>
      </x:c>
    </x:row>
    <x:row r="175">
      <x:c r="A175" t="str">
        <x:v>CASO-0087-to_be</x:v>
      </x:c>
      <x:c r="B175" t="str">
        <x:v>TO-BE</x:v>
      </x:c>
      <x:c r="C175" t="str">
        <x:v>2026-08</x:v>
      </x:c>
      <x:c r="D175" s="26" t="n">
        <x:v>1.03</x:v>
      </x:c>
      <x:c r="E175" s="26" t="n">
        <x:v>21.776</x:v>
      </x:c>
      <x:c r="F175" s="26" t="n">
        <x:v>22.806</x:v>
      </x:c>
      <x:c r="G175" t="n">
        <x:v>0</x:v>
      </x:c>
      <x:c r="H175" t="n">
        <x:v>1</x:v>
      </x:c>
      <x:c r="I175" t="n">
        <x:v>1</x:v>
      </x:c>
      <x:c r="J175" s="28" t="n">
        <x:v>61800</x:v>
      </x:c>
      <x:c r="K175" s="28" t="n">
        <x:v>0</x:v>
      </x:c>
      <x:c r="L175" t="n">
        <x:v>1</x:v>
      </x:c>
      <x:c r="M175" t="str">
        <x:v>SINTETICO</x:v>
      </x:c>
    </x:row>
    <x:row r="176">
      <x:c r="A176" t="str">
        <x:v>CASO-0088-as_is</x:v>
      </x:c>
      <x:c r="B176" t="str">
        <x:v>AS-IS</x:v>
      </x:c>
      <x:c r="C176" t="str">
        <x:v>2026-08</x:v>
      </x:c>
      <x:c r="D176" s="26" t="n">
        <x:v>3.406</x:v>
      </x:c>
      <x:c r="E176" s="26" t="n">
        <x:v>51.499</x:v>
      </x:c>
      <x:c r="F176" s="26" t="n">
        <x:v>54.905</x:v>
      </x:c>
      <x:c r="G176" t="n">
        <x:v>0</x:v>
      </x:c>
      <x:c r="H176" t="n">
        <x:v>0</x:v>
      </x:c>
      <x:c r="I176" t="n">
        <x:v>1</x:v>
      </x:c>
      <x:c r="J176" s="28" t="n">
        <x:v>204360</x:v>
      </x:c>
      <x:c r="K176" s="28" t="n">
        <x:v>0</x:v>
      </x:c>
      <x:c r="L176" t="n">
        <x:v>0</x:v>
      </x:c>
      <x:c r="M176" t="str">
        <x:v>SINTETICO</x:v>
      </x:c>
    </x:row>
    <x:row r="177">
      <x:c r="A177" t="str">
        <x:v>CASO-0088-to_be</x:v>
      </x:c>
      <x:c r="B177" t="str">
        <x:v>TO-BE</x:v>
      </x:c>
      <x:c r="C177" t="str">
        <x:v>2026-08</x:v>
      </x:c>
      <x:c r="D177" s="26" t="n">
        <x:v>1.217</x:v>
      </x:c>
      <x:c r="E177" s="26" t="n">
        <x:v>32.066</x:v>
      </x:c>
      <x:c r="F177" s="26" t="n">
        <x:v>33.283</x:v>
      </x:c>
      <x:c r="G177" t="n">
        <x:v>0</x:v>
      </x:c>
      <x:c r="H177" t="n">
        <x:v>0</x:v>
      </x:c>
      <x:c r="I177" t="n">
        <x:v>1</x:v>
      </x:c>
      <x:c r="J177" s="28" t="n">
        <x:v>73020</x:v>
      </x:c>
      <x:c r="K177" s="28" t="n">
        <x:v>0</x:v>
      </x:c>
      <x:c r="L177" t="n">
        <x:v>0</x:v>
      </x:c>
      <x:c r="M177" t="str">
        <x:v>SINTETICO</x:v>
      </x:c>
    </x:row>
    <x:row r="178">
      <x:c r="A178" t="str">
        <x:v>CASO-0089-as_is</x:v>
      </x:c>
      <x:c r="B178" t="str">
        <x:v>AS-IS</x:v>
      </x:c>
      <x:c r="C178" t="str">
        <x:v>2026-08</x:v>
      </x:c>
      <x:c r="D178" s="26" t="n">
        <x:v>2.749</x:v>
      </x:c>
      <x:c r="E178" s="26" t="n">
        <x:v>49.997</x:v>
      </x:c>
      <x:c r="F178" s="26" t="n">
        <x:v>52.746</x:v>
      </x:c>
      <x:c r="G178" t="n">
        <x:v>0</x:v>
      </x:c>
      <x:c r="H178" t="n">
        <x:v>0</x:v>
      </x:c>
      <x:c r="I178" t="n">
        <x:v>0</x:v>
      </x:c>
      <x:c r="J178" s="28" t="n">
        <x:v>164940</x:v>
      </x:c>
      <x:c r="K178" s="28" t="n">
        <x:v>0</x:v>
      </x:c>
      <x:c r="L178" t="n">
        <x:v>1</x:v>
      </x:c>
      <x:c r="M178" t="str">
        <x:v>SINTETICO</x:v>
      </x:c>
    </x:row>
    <x:row r="179">
      <x:c r="A179" t="str">
        <x:v>CASO-0089-to_be</x:v>
      </x:c>
      <x:c r="B179" t="str">
        <x:v>TO-BE</x:v>
      </x:c>
      <x:c r="C179" t="str">
        <x:v>2026-08</x:v>
      </x:c>
      <x:c r="D179" s="26" t="n">
        <x:v>0.991</x:v>
      </x:c>
      <x:c r="E179" s="26" t="n">
        <x:v>15.603</x:v>
      </x:c>
      <x:c r="F179" s="26" t="n">
        <x:v>16.594</x:v>
      </x:c>
      <x:c r="G179" t="n">
        <x:v>0</x:v>
      </x:c>
      <x:c r="H179" t="n">
        <x:v>0</x:v>
      </x:c>
      <x:c r="I179" t="n">
        <x:v>1</x:v>
      </x:c>
      <x:c r="J179" s="28" t="n">
        <x:v>59460</x:v>
      </x:c>
      <x:c r="K179" s="28" t="n">
        <x:v>0</x:v>
      </x:c>
      <x:c r="L179" t="n">
        <x:v>1</x:v>
      </x:c>
      <x:c r="M179" t="str">
        <x:v>SINTETICO</x:v>
      </x:c>
    </x:row>
    <x:row r="180">
      <x:c r="A180" t="str">
        <x:v>CASO-0090-as_is</x:v>
      </x:c>
      <x:c r="B180" t="str">
        <x:v>AS-IS</x:v>
      </x:c>
      <x:c r="C180" t="str">
        <x:v>2026-08</x:v>
      </x:c>
      <x:c r="D180" s="26" t="n">
        <x:v>3.243</x:v>
      </x:c>
      <x:c r="E180" s="26" t="n">
        <x:v>53.742</x:v>
      </x:c>
      <x:c r="F180" s="26" t="n">
        <x:v>56.985</x:v>
      </x:c>
      <x:c r="G180" t="n">
        <x:v>0</x:v>
      </x:c>
      <x:c r="H180" t="n">
        <x:v>0</x:v>
      </x:c>
      <x:c r="I180" t="n">
        <x:v>0</x:v>
      </x:c>
      <x:c r="J180" s="28" t="n">
        <x:v>194580</x:v>
      </x:c>
      <x:c r="K180" s="28" t="n">
        <x:v>0</x:v>
      </x:c>
      <x:c r="L180" t="n">
        <x:v>0</x:v>
      </x:c>
      <x:c r="M180" t="str">
        <x:v>SINTETICO</x:v>
      </x:c>
    </x:row>
    <x:row r="181">
      <x:c r="A181" t="str">
        <x:v>CASO-0090-to_be</x:v>
      </x:c>
      <x:c r="B181" t="str">
        <x:v>TO-BE</x:v>
      </x:c>
      <x:c r="C181" t="str">
        <x:v>2026-08</x:v>
      </x:c>
      <x:c r="D181" s="26" t="n">
        <x:v>1.44</x:v>
      </x:c>
      <x:c r="E181" s="26" t="n">
        <x:v>27.868</x:v>
      </x:c>
      <x:c r="F181" s="26" t="n">
        <x:v>29.308</x:v>
      </x:c>
      <x:c r="G181" t="n">
        <x:v>0</x:v>
      </x:c>
      <x:c r="H181" t="n">
        <x:v>0</x:v>
      </x:c>
      <x:c r="I181" t="n">
        <x:v>1</x:v>
      </x:c>
      <x:c r="J181" s="28" t="n">
        <x:v>86400</x:v>
      </x:c>
      <x:c r="K181" s="28" t="n">
        <x:v>0</x:v>
      </x:c>
      <x:c r="L181" t="n">
        <x:v>0</x:v>
      </x:c>
      <x:c r="M181" t="str">
        <x:v>SINTETICO</x:v>
      </x:c>
    </x:row>
    <x:row r="182">
      <x:c r="A182" t="str">
        <x:v>CASO-0091-as_is</x:v>
      </x:c>
      <x:c r="B182" t="str">
        <x:v>AS-IS</x:v>
      </x:c>
      <x:c r="C182" t="str">
        <x:v>2026-08</x:v>
      </x:c>
      <x:c r="D182" s="26" t="n">
        <x:v>3.656</x:v>
      </x:c>
      <x:c r="E182" s="26" t="n">
        <x:v>41.791</x:v>
      </x:c>
      <x:c r="F182" s="26" t="n">
        <x:v>45.447</x:v>
      </x:c>
      <x:c r="G182" t="n">
        <x:v>1</x:v>
      </x:c>
      <x:c r="H182" t="n">
        <x:v>0</x:v>
      </x:c>
      <x:c r="I182" t="n">
        <x:v>0</x:v>
      </x:c>
      <x:c r="J182" s="28" t="n">
        <x:v>219360</x:v>
      </x:c>
      <x:c r="K182" s="28" t="n">
        <x:v>70000</x:v>
      </x:c>
      <x:c r="L182" t="n">
        <x:v>0</x:v>
      </x:c>
      <x:c r="M182" t="str">
        <x:v>SINTETICO</x:v>
      </x:c>
    </x:row>
    <x:row r="183">
      <x:c r="A183" t="str">
        <x:v>CASO-0091-to_be</x:v>
      </x:c>
      <x:c r="B183" t="str">
        <x:v>TO-BE</x:v>
      </x:c>
      <x:c r="C183" t="str">
        <x:v>2026-08</x:v>
      </x:c>
      <x:c r="D183" s="26" t="n">
        <x:v>1.173</x:v>
      </x:c>
      <x:c r="E183" s="26" t="n">
        <x:v>30.717</x:v>
      </x:c>
      <x:c r="F183" s="26" t="n">
        <x:v>31.89</x:v>
      </x:c>
      <x:c r="G183" t="n">
        <x:v>0</x:v>
      </x:c>
      <x:c r="H183" t="n">
        <x:v>0</x:v>
      </x:c>
      <x:c r="I183" t="n">
        <x:v>1</x:v>
      </x:c>
      <x:c r="J183" s="28" t="n">
        <x:v>70380</x:v>
      </x:c>
      <x:c r="K183" s="28" t="n">
        <x:v>0</x:v>
      </x:c>
      <x:c r="L183" t="n">
        <x:v>0</x:v>
      </x:c>
      <x:c r="M183" t="str">
        <x:v>SINTETICO</x:v>
      </x:c>
    </x:row>
    <x:row r="184">
      <x:c r="A184" t="str">
        <x:v>CASO-0092-as_is</x:v>
      </x:c>
      <x:c r="B184" t="str">
        <x:v>AS-IS</x:v>
      </x:c>
      <x:c r="C184" t="str">
        <x:v>2026-08</x:v>
      </x:c>
      <x:c r="D184" s="26" t="n">
        <x:v>2.974</x:v>
      </x:c>
      <x:c r="E184" s="26" t="n">
        <x:v>51.907</x:v>
      </x:c>
      <x:c r="F184" s="26" t="n">
        <x:v>54.881</x:v>
      </x:c>
      <x:c r="G184" t="n">
        <x:v>0</x:v>
      </x:c>
      <x:c r="H184" t="n">
        <x:v>0</x:v>
      </x:c>
      <x:c r="I184" t="n">
        <x:v>0</x:v>
      </x:c>
      <x:c r="J184" s="28" t="n">
        <x:v>178440</x:v>
      </x:c>
      <x:c r="K184" s="28" t="n">
        <x:v>0</x:v>
      </x:c>
      <x:c r="L184" t="n">
        <x:v>0</x:v>
      </x:c>
      <x:c r="M184" t="str">
        <x:v>SINTETICO</x:v>
      </x:c>
    </x:row>
    <x:row r="185">
      <x:c r="A185" t="str">
        <x:v>CASO-0092-to_be</x:v>
      </x:c>
      <x:c r="B185" t="str">
        <x:v>TO-BE</x:v>
      </x:c>
      <x:c r="C185" t="str">
        <x:v>2026-08</x:v>
      </x:c>
      <x:c r="D185" s="26" t="n">
        <x:v>0.951</x:v>
      </x:c>
      <x:c r="E185" s="26" t="n">
        <x:v>20.54</x:v>
      </x:c>
      <x:c r="F185" s="26" t="n">
        <x:v>21.491</x:v>
      </x:c>
      <x:c r="G185" t="n">
        <x:v>0</x:v>
      </x:c>
      <x:c r="H185" t="n">
        <x:v>0</x:v>
      </x:c>
      <x:c r="I185" t="n">
        <x:v>1</x:v>
      </x:c>
      <x:c r="J185" s="28" t="n">
        <x:v>57060</x:v>
      </x:c>
      <x:c r="K185" s="28" t="n">
        <x:v>0</x:v>
      </x:c>
      <x:c r="L185" t="n">
        <x:v>0</x:v>
      </x:c>
      <x:c r="M185" t="str">
        <x:v>SINTETICO</x:v>
      </x:c>
    </x:row>
    <x:row r="186">
      <x:c r="A186" t="str">
        <x:v>CASO-0093-as_is</x:v>
      </x:c>
      <x:c r="B186" t="str">
        <x:v>AS-IS</x:v>
      </x:c>
      <x:c r="C186" t="str">
        <x:v>2026-08</x:v>
      </x:c>
      <x:c r="D186" s="26" t="n">
        <x:v>3.163</x:v>
      </x:c>
      <x:c r="E186" s="26" t="n">
        <x:v>47.504</x:v>
      </x:c>
      <x:c r="F186" s="26" t="n">
        <x:v>50.667</x:v>
      </x:c>
      <x:c r="G186" t="n">
        <x:v>0</x:v>
      </x:c>
      <x:c r="H186" t="n">
        <x:v>0</x:v>
      </x:c>
      <x:c r="I186" t="n">
        <x:v>0</x:v>
      </x:c>
      <x:c r="J186" s="28" t="n">
        <x:v>189780</x:v>
      </x:c>
      <x:c r="K186" s="28" t="n">
        <x:v>0</x:v>
      </x:c>
      <x:c r="L186" t="n">
        <x:v>1</x:v>
      </x:c>
      <x:c r="M186" t="str">
        <x:v>SINTETICO</x:v>
      </x:c>
    </x:row>
    <x:row r="187">
      <x:c r="A187" t="str">
        <x:v>CASO-0093-to_be</x:v>
      </x:c>
      <x:c r="B187" t="str">
        <x:v>TO-BE</x:v>
      </x:c>
      <x:c r="C187" t="str">
        <x:v>2026-08</x:v>
      </x:c>
      <x:c r="D187" s="26" t="n">
        <x:v>1.457</x:v>
      </x:c>
      <x:c r="E187" s="26" t="n">
        <x:v>25.463</x:v>
      </x:c>
      <x:c r="F187" s="26" t="n">
        <x:v>26.92</x:v>
      </x:c>
      <x:c r="G187" t="n">
        <x:v>1</x:v>
      </x:c>
      <x:c r="H187" t="n">
        <x:v>0</x:v>
      </x:c>
      <x:c r="I187" t="n">
        <x:v>1</x:v>
      </x:c>
      <x:c r="J187" s="28" t="n">
        <x:v>87420</x:v>
      </x:c>
      <x:c r="K187" s="28" t="n">
        <x:v>70000</x:v>
      </x:c>
      <x:c r="L187" t="n">
        <x:v>1</x:v>
      </x:c>
      <x:c r="M187" t="str">
        <x:v>SINTETICO</x:v>
      </x:c>
    </x:row>
    <x:row r="188">
      <x:c r="A188" t="str">
        <x:v>CASO-0094-as_is</x:v>
      </x:c>
      <x:c r="B188" t="str">
        <x:v>AS-IS</x:v>
      </x:c>
      <x:c r="C188" t="str">
        <x:v>2026-08</x:v>
      </x:c>
      <x:c r="D188" s="26" t="n">
        <x:v>2.692</x:v>
      </x:c>
      <x:c r="E188" s="26" t="n">
        <x:v>28.54</x:v>
      </x:c>
      <x:c r="F188" s="26" t="n">
        <x:v>31.232</x:v>
      </x:c>
      <x:c r="G188" t="n">
        <x:v>0</x:v>
      </x:c>
      <x:c r="H188" t="n">
        <x:v>0</x:v>
      </x:c>
      <x:c r="I188" t="n">
        <x:v>0</x:v>
      </x:c>
      <x:c r="J188" s="28" t="n">
        <x:v>161520</x:v>
      </x:c>
      <x:c r="K188" s="28" t="n">
        <x:v>0</x:v>
      </x:c>
      <x:c r="L188" t="n">
        <x:v>0</x:v>
      </x:c>
      <x:c r="M188" t="str">
        <x:v>SINTETICO</x:v>
      </x:c>
    </x:row>
    <x:row r="189">
      <x:c r="A189" t="str">
        <x:v>CASO-0094-to_be</x:v>
      </x:c>
      <x:c r="B189" t="str">
        <x:v>TO-BE</x:v>
      </x:c>
      <x:c r="C189" t="str">
        <x:v>2026-08</x:v>
      </x:c>
      <x:c r="D189" s="26" t="n">
        <x:v>0.945</x:v>
      </x:c>
      <x:c r="E189" s="26" t="n">
        <x:v>16.725</x:v>
      </x:c>
      <x:c r="F189" s="26" t="n">
        <x:v>17.67</x:v>
      </x:c>
      <x:c r="G189" t="n">
        <x:v>0</x:v>
      </x:c>
      <x:c r="H189" t="n">
        <x:v>0</x:v>
      </x:c>
      <x:c r="I189" t="n">
        <x:v>1</x:v>
      </x:c>
      <x:c r="J189" s="28" t="n">
        <x:v>56700</x:v>
      </x:c>
      <x:c r="K189" s="28" t="n">
        <x:v>0</x:v>
      </x:c>
      <x:c r="L189" t="n">
        <x:v>0</x:v>
      </x:c>
      <x:c r="M189" t="str">
        <x:v>SINTETICO</x:v>
      </x:c>
    </x:row>
    <x:row r="190">
      <x:c r="A190" t="str">
        <x:v>CASO-0095-as_is</x:v>
      </x:c>
      <x:c r="B190" t="str">
        <x:v>AS-IS</x:v>
      </x:c>
      <x:c r="C190" t="str">
        <x:v>2026-08</x:v>
      </x:c>
      <x:c r="D190" s="26" t="n">
        <x:v>2.145</x:v>
      </x:c>
      <x:c r="E190" s="26" t="n">
        <x:v>41</x:v>
      </x:c>
      <x:c r="F190" s="26" t="n">
        <x:v>43.145</x:v>
      </x:c>
      <x:c r="G190" t="n">
        <x:v>0</x:v>
      </x:c>
      <x:c r="H190" t="n">
        <x:v>0</x:v>
      </x:c>
      <x:c r="I190" t="n">
        <x:v>1</x:v>
      </x:c>
      <x:c r="J190" s="28" t="n">
        <x:v>128700</x:v>
      </x:c>
      <x:c r="K190" s="28" t="n">
        <x:v>0</x:v>
      </x:c>
      <x:c r="L190" t="n">
        <x:v>1</x:v>
      </x:c>
      <x:c r="M190" t="str">
        <x:v>SINTETICO</x:v>
      </x:c>
    </x:row>
    <x:row r="191">
      <x:c r="A191" t="str">
        <x:v>CASO-0095-to_be</x:v>
      </x:c>
      <x:c r="B191" t="str">
        <x:v>TO-BE</x:v>
      </x:c>
      <x:c r="C191" t="str">
        <x:v>2026-08</x:v>
      </x:c>
      <x:c r="D191" s="26" t="n">
        <x:v>0.806</x:v>
      </x:c>
      <x:c r="E191" s="26" t="n">
        <x:v>13.483</x:v>
      </x:c>
      <x:c r="F191" s="26" t="n">
        <x:v>14.289</x:v>
      </x:c>
      <x:c r="G191" t="n">
        <x:v>0</x:v>
      </x:c>
      <x:c r="H191" t="n">
        <x:v>0</x:v>
      </x:c>
      <x:c r="I191" t="n">
        <x:v>1</x:v>
      </x:c>
      <x:c r="J191" s="28" t="n">
        <x:v>48360</x:v>
      </x:c>
      <x:c r="K191" s="28" t="n">
        <x:v>0</x:v>
      </x:c>
      <x:c r="L191" t="n">
        <x:v>1</x:v>
      </x:c>
      <x:c r="M191" t="str">
        <x:v>SINTETICO</x:v>
      </x:c>
    </x:row>
    <x:row r="192">
      <x:c r="A192" t="str">
        <x:v>CASO-0096-as_is</x:v>
      </x:c>
      <x:c r="B192" t="str">
        <x:v>AS-IS</x:v>
      </x:c>
      <x:c r="C192" t="str">
        <x:v>2026-08</x:v>
      </x:c>
      <x:c r="D192" s="26" t="n">
        <x:v>3.166</x:v>
      </x:c>
      <x:c r="E192" s="26" t="n">
        <x:v>49.781</x:v>
      </x:c>
      <x:c r="F192" s="26" t="n">
        <x:v>52.947</x:v>
      </x:c>
      <x:c r="G192" t="n">
        <x:v>0</x:v>
      </x:c>
      <x:c r="H192" t="n">
        <x:v>0</x:v>
      </x:c>
      <x:c r="I192" t="n">
        <x:v>0</x:v>
      </x:c>
      <x:c r="J192" s="28" t="n">
        <x:v>189960</x:v>
      </x:c>
      <x:c r="K192" s="28" t="n">
        <x:v>0</x:v>
      </x:c>
      <x:c r="L192" t="n">
        <x:v>0</x:v>
      </x:c>
      <x:c r="M192" t="str">
        <x:v>SINTETICO</x:v>
      </x:c>
    </x:row>
    <x:row r="193">
      <x:c r="A193" t="str">
        <x:v>CASO-0096-to_be</x:v>
      </x:c>
      <x:c r="B193" t="str">
        <x:v>TO-BE</x:v>
      </x:c>
      <x:c r="C193" t="str">
        <x:v>2026-08</x:v>
      </x:c>
      <x:c r="D193" s="26" t="n">
        <x:v>1.12</x:v>
      </x:c>
      <x:c r="E193" s="26" t="n">
        <x:v>17.13</x:v>
      </x:c>
      <x:c r="F193" s="26" t="n">
        <x:v>18.25</x:v>
      </x:c>
      <x:c r="G193" t="n">
        <x:v>0</x:v>
      </x:c>
      <x:c r="H193" t="n">
        <x:v>0</x:v>
      </x:c>
      <x:c r="I193" t="n">
        <x:v>0</x:v>
      </x:c>
      <x:c r="J193" s="28" t="n">
        <x:v>67200</x:v>
      </x:c>
      <x:c r="K193" s="28" t="n">
        <x:v>0</x:v>
      </x:c>
      <x:c r="L193" t="n">
        <x:v>0</x:v>
      </x:c>
      <x:c r="M193" t="str">
        <x:v>SINTETICO</x:v>
      </x:c>
    </x:row>
    <x:row r="194">
      <x:c r="A194" t="str">
        <x:v>CASO-0097-as_is</x:v>
      </x:c>
      <x:c r="B194" t="str">
        <x:v>AS-IS</x:v>
      </x:c>
      <x:c r="C194" t="str">
        <x:v>2026-08</x:v>
      </x:c>
      <x:c r="D194" s="26" t="n">
        <x:v>2.196</x:v>
      </x:c>
      <x:c r="E194" s="26" t="n">
        <x:v>42.965</x:v>
      </x:c>
      <x:c r="F194" s="26" t="n">
        <x:v>45.161</x:v>
      </x:c>
      <x:c r="G194" t="n">
        <x:v>0</x:v>
      </x:c>
      <x:c r="H194" t="n">
        <x:v>0</x:v>
      </x:c>
      <x:c r="I194" t="n">
        <x:v>1</x:v>
      </x:c>
      <x:c r="J194" s="28" t="n">
        <x:v>131760</x:v>
      </x:c>
      <x:c r="K194" s="28" t="n">
        <x:v>0</x:v>
      </x:c>
      <x:c r="L194" t="n">
        <x:v>0</x:v>
      </x:c>
      <x:c r="M194" t="str">
        <x:v>SINTETICO</x:v>
      </x:c>
    </x:row>
    <x:row r="195">
      <x:c r="A195" t="str">
        <x:v>CASO-0097-to_be</x:v>
      </x:c>
      <x:c r="B195" t="str">
        <x:v>TO-BE</x:v>
      </x:c>
      <x:c r="C195" t="str">
        <x:v>2026-08</x:v>
      </x:c>
      <x:c r="D195" s="26" t="n">
        <x:v>1.127</x:v>
      </x:c>
      <x:c r="E195" s="26" t="n">
        <x:v>17.019</x:v>
      </x:c>
      <x:c r="F195" s="26" t="n">
        <x:v>18.146</x:v>
      </x:c>
      <x:c r="G195" t="n">
        <x:v>0</x:v>
      </x:c>
      <x:c r="H195" t="n">
        <x:v>0</x:v>
      </x:c>
      <x:c r="I195" t="n">
        <x:v>0</x:v>
      </x:c>
      <x:c r="J195" s="28" t="n">
        <x:v>67620</x:v>
      </x:c>
      <x:c r="K195" s="28" t="n">
        <x:v>0</x:v>
      </x:c>
      <x:c r="L195" t="n">
        <x:v>0</x:v>
      </x:c>
      <x:c r="M195" t="str">
        <x:v>SINTETICO</x:v>
      </x:c>
    </x:row>
    <x:row r="196">
      <x:c r="A196" t="str">
        <x:v>CASO-0098-as_is</x:v>
      </x:c>
      <x:c r="B196" t="str">
        <x:v>AS-IS</x:v>
      </x:c>
      <x:c r="C196" t="str">
        <x:v>2026-08</x:v>
      </x:c>
      <x:c r="D196" s="26" t="n">
        <x:v>2.985</x:v>
      </x:c>
      <x:c r="E196" s="26" t="n">
        <x:v>46.764</x:v>
      </x:c>
      <x:c r="F196" s="26" t="n">
        <x:v>49.749</x:v>
      </x:c>
      <x:c r="G196" t="n">
        <x:v>0</x:v>
      </x:c>
      <x:c r="H196" t="n">
        <x:v>1</x:v>
      </x:c>
      <x:c r="I196" t="n">
        <x:v>0</x:v>
      </x:c>
      <x:c r="J196" s="28" t="n">
        <x:v>179100</x:v>
      </x:c>
      <x:c r="K196" s="28" t="n">
        <x:v>0</x:v>
      </x:c>
      <x:c r="L196" t="n">
        <x:v>1</x:v>
      </x:c>
      <x:c r="M196" t="str">
        <x:v>SINTETICO</x:v>
      </x:c>
    </x:row>
    <x:row r="197">
      <x:c r="A197" t="str">
        <x:v>CASO-0098-to_be</x:v>
      </x:c>
      <x:c r="B197" t="str">
        <x:v>TO-BE</x:v>
      </x:c>
      <x:c r="C197" t="str">
        <x:v>2026-08</x:v>
      </x:c>
      <x:c r="D197" s="26" t="n">
        <x:v>1.342</x:v>
      </x:c>
      <x:c r="E197" s="26" t="n">
        <x:v>17.22</x:v>
      </x:c>
      <x:c r="F197" s="26" t="n">
        <x:v>18.562</x:v>
      </x:c>
      <x:c r="G197" t="n">
        <x:v>0</x:v>
      </x:c>
      <x:c r="H197" t="n">
        <x:v>0</x:v>
      </x:c>
      <x:c r="I197" t="n">
        <x:v>1</x:v>
      </x:c>
      <x:c r="J197" s="28" t="n">
        <x:v>80520</x:v>
      </x:c>
      <x:c r="K197" s="28" t="n">
        <x:v>0</x:v>
      </x:c>
      <x:c r="L197" t="n">
        <x:v>1</x:v>
      </x:c>
      <x:c r="M197" t="str">
        <x:v>SINTETICO</x:v>
      </x:c>
    </x:row>
    <x:row r="198">
      <x:c r="A198" t="str">
        <x:v>CASO-0099-as_is</x:v>
      </x:c>
      <x:c r="B198" t="str">
        <x:v>AS-IS</x:v>
      </x:c>
      <x:c r="C198" t="str">
        <x:v>2026-08</x:v>
      </x:c>
      <x:c r="D198" s="26" t="n">
        <x:v>2.357</x:v>
      </x:c>
      <x:c r="E198" s="26" t="n">
        <x:v>36.72</x:v>
      </x:c>
      <x:c r="F198" s="26" t="n">
        <x:v>39.077</x:v>
      </x:c>
      <x:c r="G198" t="n">
        <x:v>0</x:v>
      </x:c>
      <x:c r="H198" t="n">
        <x:v>1</x:v>
      </x:c>
      <x:c r="I198" t="n">
        <x:v>0</x:v>
      </x:c>
      <x:c r="J198" s="28" t="n">
        <x:v>141420</x:v>
      </x:c>
      <x:c r="K198" s="28" t="n">
        <x:v>0</x:v>
      </x:c>
      <x:c r="L198" t="n">
        <x:v>0</x:v>
      </x:c>
      <x:c r="M198" t="str">
        <x:v>SINTETICO</x:v>
      </x:c>
    </x:row>
    <x:row r="199">
      <x:c r="A199" t="str">
        <x:v>CASO-0099-to_be</x:v>
      </x:c>
      <x:c r="B199" t="str">
        <x:v>TO-BE</x:v>
      </x:c>
      <x:c r="C199" t="str">
        <x:v>2026-08</x:v>
      </x:c>
      <x:c r="D199" s="26" t="n">
        <x:v>1.053</x:v>
      </x:c>
      <x:c r="E199" s="26" t="n">
        <x:v>13.829</x:v>
      </x:c>
      <x:c r="F199" s="26" t="n">
        <x:v>14.882</x:v>
      </x:c>
      <x:c r="G199" t="n">
        <x:v>0</x:v>
      </x:c>
      <x:c r="H199" t="n">
        <x:v>0</x:v>
      </x:c>
      <x:c r="I199" t="n">
        <x:v>1</x:v>
      </x:c>
      <x:c r="J199" s="28" t="n">
        <x:v>63180</x:v>
      </x:c>
      <x:c r="K199" s="28" t="n">
        <x:v>0</x:v>
      </x:c>
      <x:c r="L199" t="n">
        <x:v>0</x:v>
      </x:c>
      <x:c r="M199" t="str">
        <x:v>SINTETICO</x:v>
      </x:c>
    </x:row>
    <x:row r="200">
      <x:c r="A200" t="str">
        <x:v>CASO-0100-as_is</x:v>
      </x:c>
      <x:c r="B200" t="str">
        <x:v>AS-IS</x:v>
      </x:c>
      <x:c r="C200" t="str">
        <x:v>2026-08</x:v>
      </x:c>
      <x:c r="D200" s="26" t="n">
        <x:v>2.357</x:v>
      </x:c>
      <x:c r="E200" s="26" t="n">
        <x:v>43.072</x:v>
      </x:c>
      <x:c r="F200" s="26" t="n">
        <x:v>45.429</x:v>
      </x:c>
      <x:c r="G200" t="n">
        <x:v>1</x:v>
      </x:c>
      <x:c r="H200" t="n">
        <x:v>0</x:v>
      </x:c>
      <x:c r="I200" t="n">
        <x:v>0</x:v>
      </x:c>
      <x:c r="J200" s="28" t="n">
        <x:v>141420</x:v>
      </x:c>
      <x:c r="K200" s="28" t="n">
        <x:v>70000</x:v>
      </x:c>
      <x:c r="L200" t="n">
        <x:v>1</x:v>
      </x:c>
      <x:c r="M200" t="str">
        <x:v>SINTETICO</x:v>
      </x:c>
    </x:row>
    <x:row r="201">
      <x:c r="A201" t="str">
        <x:v>CASO-0100-to_be</x:v>
      </x:c>
      <x:c r="B201" t="str">
        <x:v>TO-BE</x:v>
      </x:c>
      <x:c r="C201" t="str">
        <x:v>2026-08</x:v>
      </x:c>
      <x:c r="D201" s="26" t="n">
        <x:v>0.901</x:v>
      </x:c>
      <x:c r="E201" s="26" t="n">
        <x:v>16.141</x:v>
      </x:c>
      <x:c r="F201" s="26" t="n">
        <x:v>17.042</x:v>
      </x:c>
      <x:c r="G201" t="n">
        <x:v>0</x:v>
      </x:c>
      <x:c r="H201" t="n">
        <x:v>0</x:v>
      </x:c>
      <x:c r="I201" t="n">
        <x:v>1</x:v>
      </x:c>
      <x:c r="J201" s="28" t="n">
        <x:v>54060</x:v>
      </x:c>
      <x:c r="K201" s="28" t="n">
        <x:v>0</x:v>
      </x:c>
      <x:c r="L201" t="n">
        <x:v>1</x:v>
      </x:c>
      <x:c r="M201" t="str">
        <x:v>SINTETICO</x:v>
      </x:c>
    </x:row>
    <x:row r="202">
      <x:c r="A202" t="str">
        <x:v>CASO-0101-as_is</x:v>
      </x:c>
      <x:c r="B202" t="str">
        <x:v>AS-IS</x:v>
      </x:c>
      <x:c r="C202" t="str">
        <x:v>2026-08</x:v>
      </x:c>
      <x:c r="D202" s="26" t="n">
        <x:v>2.952</x:v>
      </x:c>
      <x:c r="E202" s="26" t="n">
        <x:v>46.66</x:v>
      </x:c>
      <x:c r="F202" s="26" t="n">
        <x:v>49.612</x:v>
      </x:c>
      <x:c r="G202" t="n">
        <x:v>0</x:v>
      </x:c>
      <x:c r="H202" t="n">
        <x:v>0</x:v>
      </x:c>
      <x:c r="I202" t="n">
        <x:v>0</x:v>
      </x:c>
      <x:c r="J202" s="28" t="n">
        <x:v>177120</x:v>
      </x:c>
      <x:c r="K202" s="28" t="n">
        <x:v>0</x:v>
      </x:c>
      <x:c r="L202" t="n">
        <x:v>0</x:v>
      </x:c>
      <x:c r="M202" t="str">
        <x:v>SINTETICO</x:v>
      </x:c>
    </x:row>
    <x:row r="203">
      <x:c r="A203" t="str">
        <x:v>CASO-0101-to_be</x:v>
      </x:c>
      <x:c r="B203" t="str">
        <x:v>TO-BE</x:v>
      </x:c>
      <x:c r="C203" t="str">
        <x:v>2026-08</x:v>
      </x:c>
      <x:c r="D203" s="26" t="n">
        <x:v>1.234</x:v>
      </x:c>
      <x:c r="E203" s="26" t="n">
        <x:v>14.823</x:v>
      </x:c>
      <x:c r="F203" s="26" t="n">
        <x:v>16.057</x:v>
      </x:c>
      <x:c r="G203" t="n">
        <x:v>0</x:v>
      </x:c>
      <x:c r="H203" t="n">
        <x:v>0</x:v>
      </x:c>
      <x:c r="I203" t="n">
        <x:v>1</x:v>
      </x:c>
      <x:c r="J203" s="28" t="n">
        <x:v>74040</x:v>
      </x:c>
      <x:c r="K203" s="28" t="n">
        <x:v>0</x:v>
      </x:c>
      <x:c r="L203" t="n">
        <x:v>0</x:v>
      </x:c>
      <x:c r="M203" t="str">
        <x:v>SINTETICO</x:v>
      </x:c>
    </x:row>
    <x:row r="204">
      <x:c r="A204" t="str">
        <x:v>CASO-0102-as_is</x:v>
      </x:c>
      <x:c r="B204" t="str">
        <x:v>AS-IS</x:v>
      </x:c>
      <x:c r="C204" t="str">
        <x:v>2026-08</x:v>
      </x:c>
      <x:c r="D204" s="26" t="n">
        <x:v>3.184</x:v>
      </x:c>
      <x:c r="E204" s="26" t="n">
        <x:v>48.76</x:v>
      </x:c>
      <x:c r="F204" s="26" t="n">
        <x:v>51.944</x:v>
      </x:c>
      <x:c r="G204" t="n">
        <x:v>0</x:v>
      </x:c>
      <x:c r="H204" t="n">
        <x:v>0</x:v>
      </x:c>
      <x:c r="I204" t="n">
        <x:v>0</x:v>
      </x:c>
      <x:c r="J204" s="28" t="n">
        <x:v>191040</x:v>
      </x:c>
      <x:c r="K204" s="28" t="n">
        <x:v>0</x:v>
      </x:c>
      <x:c r="L204" t="n">
        <x:v>0</x:v>
      </x:c>
      <x:c r="M204" t="str">
        <x:v>SINTETICO</x:v>
      </x:c>
    </x:row>
    <x:row r="205">
      <x:c r="A205" t="str">
        <x:v>CASO-0102-to_be</x:v>
      </x:c>
      <x:c r="B205" t="str">
        <x:v>TO-BE</x:v>
      </x:c>
      <x:c r="C205" t="str">
        <x:v>2026-08</x:v>
      </x:c>
      <x:c r="D205" s="26" t="n">
        <x:v>1.18</x:v>
      </x:c>
      <x:c r="E205" s="26" t="n">
        <x:v>22.64</x:v>
      </x:c>
      <x:c r="F205" s="26" t="n">
        <x:v>23.82</x:v>
      </x:c>
      <x:c r="G205" t="n">
        <x:v>0</x:v>
      </x:c>
      <x:c r="H205" t="n">
        <x:v>0</x:v>
      </x:c>
      <x:c r="I205" t="n">
        <x:v>1</x:v>
      </x:c>
      <x:c r="J205" s="28" t="n">
        <x:v>70800</x:v>
      </x:c>
      <x:c r="K205" s="28" t="n">
        <x:v>0</x:v>
      </x:c>
      <x:c r="L205" t="n">
        <x:v>0</x:v>
      </x:c>
      <x:c r="M205" t="str">
        <x:v>SINTETICO</x:v>
      </x:c>
    </x:row>
    <x:row r="206">
      <x:c r="A206" t="str">
        <x:v>CASO-0103-as_is</x:v>
      </x:c>
      <x:c r="B206" t="str">
        <x:v>AS-IS</x:v>
      </x:c>
      <x:c r="C206" t="str">
        <x:v>2026-08</x:v>
      </x:c>
      <x:c r="D206" s="26" t="n">
        <x:v>2.695</x:v>
      </x:c>
      <x:c r="E206" s="26" t="n">
        <x:v>41.281</x:v>
      </x:c>
      <x:c r="F206" s="26" t="n">
        <x:v>43.976</x:v>
      </x:c>
      <x:c r="G206" t="n">
        <x:v>0</x:v>
      </x:c>
      <x:c r="H206" t="n">
        <x:v>0</x:v>
      </x:c>
      <x:c r="I206" t="n">
        <x:v>0</x:v>
      </x:c>
      <x:c r="J206" s="28" t="n">
        <x:v>161700</x:v>
      </x:c>
      <x:c r="K206" s="28" t="n">
        <x:v>0</x:v>
      </x:c>
      <x:c r="L206" t="n">
        <x:v>0</x:v>
      </x:c>
      <x:c r="M206" t="str">
        <x:v>SINTETICO</x:v>
      </x:c>
    </x:row>
    <x:row r="207">
      <x:c r="A207" t="str">
        <x:v>CASO-0103-to_be</x:v>
      </x:c>
      <x:c r="B207" t="str">
        <x:v>TO-BE</x:v>
      </x:c>
      <x:c r="C207" t="str">
        <x:v>2026-08</x:v>
      </x:c>
      <x:c r="D207" s="26" t="n">
        <x:v>1.087</x:v>
      </x:c>
      <x:c r="E207" s="26" t="n">
        <x:v>24.728</x:v>
      </x:c>
      <x:c r="F207" s="26" t="n">
        <x:v>25.815</x:v>
      </x:c>
      <x:c r="G207" t="n">
        <x:v>0</x:v>
      </x:c>
      <x:c r="H207" t="n">
        <x:v>0</x:v>
      </x:c>
      <x:c r="I207" t="n">
        <x:v>0</x:v>
      </x:c>
      <x:c r="J207" s="28" t="n">
        <x:v>65220</x:v>
      </x:c>
      <x:c r="K207" s="28" t="n">
        <x:v>0</x:v>
      </x:c>
      <x:c r="L207" t="n">
        <x:v>0</x:v>
      </x:c>
      <x:c r="M207" t="str">
        <x:v>SINTETICO</x:v>
      </x:c>
    </x:row>
    <x:row r="208">
      <x:c r="A208" t="str">
        <x:v>CASO-0104-as_is</x:v>
      </x:c>
      <x:c r="B208" t="str">
        <x:v>AS-IS</x:v>
      </x:c>
      <x:c r="C208" t="str">
        <x:v>2026-08</x:v>
      </x:c>
      <x:c r="D208" s="26" t="n">
        <x:v>2.51</x:v>
      </x:c>
      <x:c r="E208" s="26" t="n">
        <x:v>31.64</x:v>
      </x:c>
      <x:c r="F208" s="26" t="n">
        <x:v>34.15</x:v>
      </x:c>
      <x:c r="G208" t="n">
        <x:v>0</x:v>
      </x:c>
      <x:c r="H208" t="n">
        <x:v>0</x:v>
      </x:c>
      <x:c r="I208" t="n">
        <x:v>0</x:v>
      </x:c>
      <x:c r="J208" s="28" t="n">
        <x:v>150600</x:v>
      </x:c>
      <x:c r="K208" s="28" t="n">
        <x:v>0</x:v>
      </x:c>
      <x:c r="L208" t="n">
        <x:v>0</x:v>
      </x:c>
      <x:c r="M208" t="str">
        <x:v>SINTETICO</x:v>
      </x:c>
    </x:row>
    <x:row r="209">
      <x:c r="A209" t="str">
        <x:v>CASO-0104-to_be</x:v>
      </x:c>
      <x:c r="B209" t="str">
        <x:v>TO-BE</x:v>
      </x:c>
      <x:c r="C209" t="str">
        <x:v>2026-08</x:v>
      </x:c>
      <x:c r="D209" s="26" t="n">
        <x:v>0.868</x:v>
      </x:c>
      <x:c r="E209" s="26" t="n">
        <x:v>21.294</x:v>
      </x:c>
      <x:c r="F209" s="26" t="n">
        <x:v>22.162</x:v>
      </x:c>
      <x:c r="G209" t="n">
        <x:v>0</x:v>
      </x:c>
      <x:c r="H209" t="n">
        <x:v>0</x:v>
      </x:c>
      <x:c r="I209" t="n">
        <x:v>0</x:v>
      </x:c>
      <x:c r="J209" s="28" t="n">
        <x:v>52080</x:v>
      </x:c>
      <x:c r="K209" s="28" t="n">
        <x:v>0</x:v>
      </x:c>
      <x:c r="L209" t="n">
        <x:v>0</x:v>
      </x:c>
      <x:c r="M209" t="str">
        <x:v>SINTETICO</x:v>
      </x:c>
    </x:row>
    <x:row r="210">
      <x:c r="A210" t="str">
        <x:v>CASO-0105-as_is</x:v>
      </x:c>
      <x:c r="B210" t="str">
        <x:v>AS-IS</x:v>
      </x:c>
      <x:c r="C210" t="str">
        <x:v>2026-08</x:v>
      </x:c>
      <x:c r="D210" s="26" t="n">
        <x:v>2.358</x:v>
      </x:c>
      <x:c r="E210" s="26" t="n">
        <x:v>33.46</x:v>
      </x:c>
      <x:c r="F210" s="26" t="n">
        <x:v>35.818</x:v>
      </x:c>
      <x:c r="G210" t="n">
        <x:v>0</x:v>
      </x:c>
      <x:c r="H210" t="n">
        <x:v>0</x:v>
      </x:c>
      <x:c r="I210" t="n">
        <x:v>0</x:v>
      </x:c>
      <x:c r="J210" s="28" t="n">
        <x:v>141480</x:v>
      </x:c>
      <x:c r="K210" s="28" t="n">
        <x:v>0</x:v>
      </x:c>
      <x:c r="L210" t="n">
        <x:v>1</x:v>
      </x:c>
      <x:c r="M210" t="str">
        <x:v>SINTETICO</x:v>
      </x:c>
    </x:row>
    <x:row r="211">
      <x:c r="A211" t="str">
        <x:v>CASO-0105-to_be</x:v>
      </x:c>
      <x:c r="B211" t="str">
        <x:v>TO-BE</x:v>
      </x:c>
      <x:c r="C211" t="str">
        <x:v>2026-08</x:v>
      </x:c>
      <x:c r="D211" s="26" t="n">
        <x:v>1.076</x:v>
      </x:c>
      <x:c r="E211" s="26" t="n">
        <x:v>15.951</x:v>
      </x:c>
      <x:c r="F211" s="26" t="n">
        <x:v>17.027</x:v>
      </x:c>
      <x:c r="G211" t="n">
        <x:v>0</x:v>
      </x:c>
      <x:c r="H211" t="n">
        <x:v>0</x:v>
      </x:c>
      <x:c r="I211" t="n">
        <x:v>1</x:v>
      </x:c>
      <x:c r="J211" s="28" t="n">
        <x:v>64560</x:v>
      </x:c>
      <x:c r="K211" s="28" t="n">
        <x:v>0</x:v>
      </x:c>
      <x:c r="L211" t="n">
        <x:v>1</x:v>
      </x:c>
      <x:c r="M211" t="str">
        <x:v>SINTETICO</x:v>
      </x:c>
    </x:row>
    <x:row r="212">
      <x:c r="A212" t="str">
        <x:v>CASO-0106-as_is</x:v>
      </x:c>
      <x:c r="B212" t="str">
        <x:v>AS-IS</x:v>
      </x:c>
      <x:c r="C212" t="str">
        <x:v>2026-08</x:v>
      </x:c>
      <x:c r="D212" s="26" t="n">
        <x:v>3.538</x:v>
      </x:c>
      <x:c r="E212" s="26" t="n">
        <x:v>59.564</x:v>
      </x:c>
      <x:c r="F212" s="26" t="n">
        <x:v>63.102</x:v>
      </x:c>
      <x:c r="G212" t="n">
        <x:v>0</x:v>
      </x:c>
      <x:c r="H212" t="n">
        <x:v>0</x:v>
      </x:c>
      <x:c r="I212" t="n">
        <x:v>0</x:v>
      </x:c>
      <x:c r="J212" s="28" t="n">
        <x:v>212280</x:v>
      </x:c>
      <x:c r="K212" s="28" t="n">
        <x:v>0</x:v>
      </x:c>
      <x:c r="L212" t="n">
        <x:v>1</x:v>
      </x:c>
      <x:c r="M212" t="str">
        <x:v>SINTETICO</x:v>
      </x:c>
    </x:row>
    <x:row r="213">
      <x:c r="A213" t="str">
        <x:v>CASO-0106-to_be</x:v>
      </x:c>
      <x:c r="B213" t="str">
        <x:v>TO-BE</x:v>
      </x:c>
      <x:c r="C213" t="str">
        <x:v>2026-08</x:v>
      </x:c>
      <x:c r="D213" s="26" t="n">
        <x:v>1.33</x:v>
      </x:c>
      <x:c r="E213" s="26" t="n">
        <x:v>18.56</x:v>
      </x:c>
      <x:c r="F213" s="26" t="n">
        <x:v>19.89</x:v>
      </x:c>
      <x:c r="G213" t="n">
        <x:v>0</x:v>
      </x:c>
      <x:c r="H213" t="n">
        <x:v>0</x:v>
      </x:c>
      <x:c r="I213" t="n">
        <x:v>1</x:v>
      </x:c>
      <x:c r="J213" s="28" t="n">
        <x:v>79800</x:v>
      </x:c>
      <x:c r="K213" s="28" t="n">
        <x:v>0</x:v>
      </x:c>
      <x:c r="L213" t="n">
        <x:v>1</x:v>
      </x:c>
      <x:c r="M213" t="str">
        <x:v>SINTETICO</x:v>
      </x:c>
    </x:row>
    <x:row r="214">
      <x:c r="A214" t="str">
        <x:v>CASO-0107-as_is</x:v>
      </x:c>
      <x:c r="B214" t="str">
        <x:v>AS-IS</x:v>
      </x:c>
      <x:c r="C214" t="str">
        <x:v>2026-08</x:v>
      </x:c>
      <x:c r="D214" s="26" t="n">
        <x:v>3.168</x:v>
      </x:c>
      <x:c r="E214" s="26" t="n">
        <x:v>64.276</x:v>
      </x:c>
      <x:c r="F214" s="26" t="n">
        <x:v>67.444</x:v>
      </x:c>
      <x:c r="G214" t="n">
        <x:v>0</x:v>
      </x:c>
      <x:c r="H214" t="n">
        <x:v>1</x:v>
      </x:c>
      <x:c r="I214" t="n">
        <x:v>0</x:v>
      </x:c>
      <x:c r="J214" s="28" t="n">
        <x:v>190080</x:v>
      </x:c>
      <x:c r="K214" s="28" t="n">
        <x:v>0</x:v>
      </x:c>
      <x:c r="L214" t="n">
        <x:v>0</x:v>
      </x:c>
      <x:c r="M214" t="str">
        <x:v>SINTETICO</x:v>
      </x:c>
    </x:row>
    <x:row r="215">
      <x:c r="A215" t="str">
        <x:v>CASO-0107-to_be</x:v>
      </x:c>
      <x:c r="B215" t="str">
        <x:v>TO-BE</x:v>
      </x:c>
      <x:c r="C215" t="str">
        <x:v>2026-08</x:v>
      </x:c>
      <x:c r="D215" s="26" t="n">
        <x:v>1.59</x:v>
      </x:c>
      <x:c r="E215" s="26" t="n">
        <x:v>28.169</x:v>
      </x:c>
      <x:c r="F215" s="26" t="n">
        <x:v>29.759</x:v>
      </x:c>
      <x:c r="G215" t="n">
        <x:v>0</x:v>
      </x:c>
      <x:c r="H215" t="n">
        <x:v>0</x:v>
      </x:c>
      <x:c r="I215" t="n">
        <x:v>1</x:v>
      </x:c>
      <x:c r="J215" s="28" t="n">
        <x:v>95400</x:v>
      </x:c>
      <x:c r="K215" s="28" t="n">
        <x:v>0</x:v>
      </x:c>
      <x:c r="L215" t="n">
        <x:v>0</x:v>
      </x:c>
      <x:c r="M215" t="str">
        <x:v>SINTETICO</x:v>
      </x:c>
    </x:row>
    <x:row r="216">
      <x:c r="A216" t="str">
        <x:v>CASO-0108-as_is</x:v>
      </x:c>
      <x:c r="B216" t="str">
        <x:v>AS-IS</x:v>
      </x:c>
      <x:c r="C216" t="str">
        <x:v>2026-08</x:v>
      </x:c>
      <x:c r="D216" s="26" t="n">
        <x:v>2.428</x:v>
      </x:c>
      <x:c r="E216" s="26" t="n">
        <x:v>51.286</x:v>
      </x:c>
      <x:c r="F216" s="26" t="n">
        <x:v>53.714</x:v>
      </x:c>
      <x:c r="G216" t="n">
        <x:v>0</x:v>
      </x:c>
      <x:c r="H216" t="n">
        <x:v>0</x:v>
      </x:c>
      <x:c r="I216" t="n">
        <x:v>0</x:v>
      </x:c>
      <x:c r="J216" s="28" t="n">
        <x:v>145680</x:v>
      </x:c>
      <x:c r="K216" s="28" t="n">
        <x:v>0</x:v>
      </x:c>
      <x:c r="L216" t="n">
        <x:v>0</x:v>
      </x:c>
      <x:c r="M216" t="str">
        <x:v>SINTETICO</x:v>
      </x:c>
    </x:row>
    <x:row r="217">
      <x:c r="A217" t="str">
        <x:v>CASO-0108-to_be</x:v>
      </x:c>
      <x:c r="B217" t="str">
        <x:v>TO-BE</x:v>
      </x:c>
      <x:c r="C217" t="str">
        <x:v>2026-08</x:v>
      </x:c>
      <x:c r="D217" s="26" t="n">
        <x:v>1.174</x:v>
      </x:c>
      <x:c r="E217" s="26" t="n">
        <x:v>23.461</x:v>
      </x:c>
      <x:c r="F217" s="26" t="n">
        <x:v>24.635</x:v>
      </x:c>
      <x:c r="G217" t="n">
        <x:v>1</x:v>
      </x:c>
      <x:c r="H217" t="n">
        <x:v>0</x:v>
      </x:c>
      <x:c r="I217" t="n">
        <x:v>1</x:v>
      </x:c>
      <x:c r="J217" s="28" t="n">
        <x:v>70440</x:v>
      </x:c>
      <x:c r="K217" s="28" t="n">
        <x:v>70000</x:v>
      </x:c>
      <x:c r="L217" t="n">
        <x:v>0</x:v>
      </x:c>
      <x:c r="M217" t="str">
        <x:v>SINTETICO</x:v>
      </x:c>
    </x:row>
    <x:row r="218">
      <x:c r="A218" t="str">
        <x:v>CASO-0109-as_is</x:v>
      </x:c>
      <x:c r="B218" t="str">
        <x:v>AS-IS</x:v>
      </x:c>
      <x:c r="C218" t="str">
        <x:v>2026-08</x:v>
      </x:c>
      <x:c r="D218" s="26" t="n">
        <x:v>2.152</x:v>
      </x:c>
      <x:c r="E218" s="26" t="n">
        <x:v>28.737</x:v>
      </x:c>
      <x:c r="F218" s="26" t="n">
        <x:v>30.889</x:v>
      </x:c>
      <x:c r="G218" t="n">
        <x:v>0</x:v>
      </x:c>
      <x:c r="H218" t="n">
        <x:v>1</x:v>
      </x:c>
      <x:c r="I218" t="n">
        <x:v>0</x:v>
      </x:c>
      <x:c r="J218" s="28" t="n">
        <x:v>129120</x:v>
      </x:c>
      <x:c r="K218" s="28" t="n">
        <x:v>0</x:v>
      </x:c>
      <x:c r="L218" t="n">
        <x:v>0</x:v>
      </x:c>
      <x:c r="M218" t="str">
        <x:v>SINTETICO</x:v>
      </x:c>
    </x:row>
    <x:row r="219">
      <x:c r="A219" t="str">
        <x:v>CASO-0109-to_be</x:v>
      </x:c>
      <x:c r="B219" t="str">
        <x:v>TO-BE</x:v>
      </x:c>
      <x:c r="C219" t="str">
        <x:v>2026-08</x:v>
      </x:c>
      <x:c r="D219" s="26" t="n">
        <x:v>1.08</x:v>
      </x:c>
      <x:c r="E219" s="26" t="n">
        <x:v>21.739</x:v>
      </x:c>
      <x:c r="F219" s="26" t="n">
        <x:v>22.819</x:v>
      </x:c>
      <x:c r="G219" t="n">
        <x:v>0</x:v>
      </x:c>
      <x:c r="H219" t="n">
        <x:v>0</x:v>
      </x:c>
      <x:c r="I219" t="n">
        <x:v>0</x:v>
      </x:c>
      <x:c r="J219" s="28" t="n">
        <x:v>64800</x:v>
      </x:c>
      <x:c r="K219" s="28" t="n">
        <x:v>0</x:v>
      </x:c>
      <x:c r="L219" t="n">
        <x:v>0</x:v>
      </x:c>
      <x:c r="M219" t="str">
        <x:v>SINTETICO</x:v>
      </x:c>
    </x:row>
    <x:row r="220">
      <x:c r="A220" t="str">
        <x:v>CASO-0110-as_is</x:v>
      </x:c>
      <x:c r="B220" t="str">
        <x:v>AS-IS</x:v>
      </x:c>
      <x:c r="C220" t="str">
        <x:v>2026-08</x:v>
      </x:c>
      <x:c r="D220" s="26" t="n">
        <x:v>2.705</x:v>
      </x:c>
      <x:c r="E220" s="26" t="n">
        <x:v>42.042</x:v>
      </x:c>
      <x:c r="F220" s="26" t="n">
        <x:v>44.747</x:v>
      </x:c>
      <x:c r="G220" t="n">
        <x:v>1</x:v>
      </x:c>
      <x:c r="H220" t="n">
        <x:v>0</x:v>
      </x:c>
      <x:c r="I220" t="n">
        <x:v>0</x:v>
      </x:c>
      <x:c r="J220" s="28" t="n">
        <x:v>162300</x:v>
      </x:c>
      <x:c r="K220" s="28" t="n">
        <x:v>70000</x:v>
      </x:c>
      <x:c r="L220" t="n">
        <x:v>0</x:v>
      </x:c>
      <x:c r="M220" t="str">
        <x:v>SINTETICO</x:v>
      </x:c>
    </x:row>
    <x:row r="221">
      <x:c r="A221" t="str">
        <x:v>CASO-0110-to_be</x:v>
      </x:c>
      <x:c r="B221" t="str">
        <x:v>TO-BE</x:v>
      </x:c>
      <x:c r="C221" t="str">
        <x:v>2026-08</x:v>
      </x:c>
      <x:c r="D221" s="26" t="n">
        <x:v>1.052</x:v>
      </x:c>
      <x:c r="E221" s="26" t="n">
        <x:v>18.607</x:v>
      </x:c>
      <x:c r="F221" s="26" t="n">
        <x:v>19.659</x:v>
      </x:c>
      <x:c r="G221" t="n">
        <x:v>0</x:v>
      </x:c>
      <x:c r="H221" t="n">
        <x:v>0</x:v>
      </x:c>
      <x:c r="I221" t="n">
        <x:v>1</x:v>
      </x:c>
      <x:c r="J221" s="28" t="n">
        <x:v>63120</x:v>
      </x:c>
      <x:c r="K221" s="28" t="n">
        <x:v>0</x:v>
      </x:c>
      <x:c r="L221" t="n">
        <x:v>0</x:v>
      </x:c>
      <x:c r="M221" t="str">
        <x:v>SINTETICO</x:v>
      </x:c>
    </x:row>
    <x:row r="222">
      <x:c r="A222" t="str">
        <x:v>CASO-0111-as_is</x:v>
      </x:c>
      <x:c r="B222" t="str">
        <x:v>AS-IS</x:v>
      </x:c>
      <x:c r="C222" t="str">
        <x:v>2026-09</x:v>
      </x:c>
      <x:c r="D222" s="26" t="n">
        <x:v>2.065</x:v>
      </x:c>
      <x:c r="E222" s="26" t="n">
        <x:v>27.778</x:v>
      </x:c>
      <x:c r="F222" s="26" t="n">
        <x:v>29.843</x:v>
      </x:c>
      <x:c r="G222" t="n">
        <x:v>1</x:v>
      </x:c>
      <x:c r="H222" t="n">
        <x:v>0</x:v>
      </x:c>
      <x:c r="I222" t="n">
        <x:v>0</x:v>
      </x:c>
      <x:c r="J222" s="28" t="n">
        <x:v>123900</x:v>
      </x:c>
      <x:c r="K222" s="28" t="n">
        <x:v>70000</x:v>
      </x:c>
      <x:c r="L222" t="n">
        <x:v>0</x:v>
      </x:c>
      <x:c r="M222" t="str">
        <x:v>SINTETICO</x:v>
      </x:c>
    </x:row>
    <x:row r="223">
      <x:c r="A223" t="str">
        <x:v>CASO-0111-to_be</x:v>
      </x:c>
      <x:c r="B223" t="str">
        <x:v>TO-BE</x:v>
      </x:c>
      <x:c r="C223" t="str">
        <x:v>2026-09</x:v>
      </x:c>
      <x:c r="D223" s="26" t="n">
        <x:v>0.849</x:v>
      </x:c>
      <x:c r="E223" s="26" t="n">
        <x:v>13.839</x:v>
      </x:c>
      <x:c r="F223" s="26" t="n">
        <x:v>14.688</x:v>
      </x:c>
      <x:c r="G223" t="n">
        <x:v>0</x:v>
      </x:c>
      <x:c r="H223" t="n">
        <x:v>1</x:v>
      </x:c>
      <x:c r="I223" t="n">
        <x:v>0</x:v>
      </x:c>
      <x:c r="J223" s="28" t="n">
        <x:v>50940</x:v>
      </x:c>
      <x:c r="K223" s="28" t="n">
        <x:v>0</x:v>
      </x:c>
      <x:c r="L223" t="n">
        <x:v>0</x:v>
      </x:c>
      <x:c r="M223" t="str">
        <x:v>SINTETICO</x:v>
      </x:c>
    </x:row>
    <x:row r="224">
      <x:c r="A224" t="str">
        <x:v>CASO-0112-as_is</x:v>
      </x:c>
      <x:c r="B224" t="str">
        <x:v>AS-IS</x:v>
      </x:c>
      <x:c r="C224" t="str">
        <x:v>2026-09</x:v>
      </x:c>
      <x:c r="D224" s="26" t="n">
        <x:v>2.588</x:v>
      </x:c>
      <x:c r="E224" s="26" t="n">
        <x:v>33.003</x:v>
      </x:c>
      <x:c r="F224" s="26" t="n">
        <x:v>35.591</x:v>
      </x:c>
      <x:c r="G224" t="n">
        <x:v>0</x:v>
      </x:c>
      <x:c r="H224" t="n">
        <x:v>0</x:v>
      </x:c>
      <x:c r="I224" t="n">
        <x:v>0</x:v>
      </x:c>
      <x:c r="J224" s="28" t="n">
        <x:v>155280</x:v>
      </x:c>
      <x:c r="K224" s="28" t="n">
        <x:v>0</x:v>
      </x:c>
      <x:c r="L224" t="n">
        <x:v>0</x:v>
      </x:c>
      <x:c r="M224" t="str">
        <x:v>SINTETICO</x:v>
      </x:c>
    </x:row>
    <x:row r="225">
      <x:c r="A225" t="str">
        <x:v>CASO-0112-to_be</x:v>
      </x:c>
      <x:c r="B225" t="str">
        <x:v>TO-BE</x:v>
      </x:c>
      <x:c r="C225" t="str">
        <x:v>2026-09</x:v>
      </x:c>
      <x:c r="D225" s="26" t="n">
        <x:v>1.055</x:v>
      </x:c>
      <x:c r="E225" s="26" t="n">
        <x:v>21.111</x:v>
      </x:c>
      <x:c r="F225" s="26" t="n">
        <x:v>22.166</x:v>
      </x:c>
      <x:c r="G225" t="n">
        <x:v>0</x:v>
      </x:c>
      <x:c r="H225" t="n">
        <x:v>0</x:v>
      </x:c>
      <x:c r="I225" t="n">
        <x:v>0</x:v>
      </x:c>
      <x:c r="J225" s="28" t="n">
        <x:v>63300</x:v>
      </x:c>
      <x:c r="K225" s="28" t="n">
        <x:v>0</x:v>
      </x:c>
      <x:c r="L225" t="n">
        <x:v>0</x:v>
      </x:c>
      <x:c r="M225" t="str">
        <x:v>SINTETICO</x:v>
      </x:c>
    </x:row>
    <x:row r="226">
      <x:c r="A226" t="str">
        <x:v>CASO-0113-as_is</x:v>
      </x:c>
      <x:c r="B226" t="str">
        <x:v>AS-IS</x:v>
      </x:c>
      <x:c r="C226" t="str">
        <x:v>2026-09</x:v>
      </x:c>
      <x:c r="D226" s="26" t="n">
        <x:v>2.536</x:v>
      </x:c>
      <x:c r="E226" s="26" t="n">
        <x:v>34.376</x:v>
      </x:c>
      <x:c r="F226" s="26" t="n">
        <x:v>36.912</x:v>
      </x:c>
      <x:c r="G226" t="n">
        <x:v>0</x:v>
      </x:c>
      <x:c r="H226" t="n">
        <x:v>0</x:v>
      </x:c>
      <x:c r="I226" t="n">
        <x:v>0</x:v>
      </x:c>
      <x:c r="J226" s="28" t="n">
        <x:v>152160</x:v>
      </x:c>
      <x:c r="K226" s="28" t="n">
        <x:v>0</x:v>
      </x:c>
      <x:c r="L226" t="n">
        <x:v>0</x:v>
      </x:c>
      <x:c r="M226" t="str">
        <x:v>SINTETICO</x:v>
      </x:c>
    </x:row>
    <x:row r="227">
      <x:c r="A227" t="str">
        <x:v>CASO-0113-to_be</x:v>
      </x:c>
      <x:c r="B227" t="str">
        <x:v>TO-BE</x:v>
      </x:c>
      <x:c r="C227" t="str">
        <x:v>2026-09</x:v>
      </x:c>
      <x:c r="D227" s="26" t="n">
        <x:v>0.944</x:v>
      </x:c>
      <x:c r="E227" s="26" t="n">
        <x:v>20.561</x:v>
      </x:c>
      <x:c r="F227" s="26" t="n">
        <x:v>21.505</x:v>
      </x:c>
      <x:c r="G227" t="n">
        <x:v>0</x:v>
      </x:c>
      <x:c r="H227" t="n">
        <x:v>0</x:v>
      </x:c>
      <x:c r="I227" t="n">
        <x:v>1</x:v>
      </x:c>
      <x:c r="J227" s="28" t="n">
        <x:v>56640</x:v>
      </x:c>
      <x:c r="K227" s="28" t="n">
        <x:v>0</x:v>
      </x:c>
      <x:c r="L227" t="n">
        <x:v>0</x:v>
      </x:c>
      <x:c r="M227" t="str">
        <x:v>SINTETICO</x:v>
      </x:c>
    </x:row>
    <x:row r="228">
      <x:c r="A228" t="str">
        <x:v>CASO-0114-as_is</x:v>
      </x:c>
      <x:c r="B228" t="str">
        <x:v>AS-IS</x:v>
      </x:c>
      <x:c r="C228" t="str">
        <x:v>2026-09</x:v>
      </x:c>
      <x:c r="D228" s="26" t="n">
        <x:v>3.555</x:v>
      </x:c>
      <x:c r="E228" s="26" t="n">
        <x:v>49.342</x:v>
      </x:c>
      <x:c r="F228" s="26" t="n">
        <x:v>52.897</x:v>
      </x:c>
      <x:c r="G228" t="n">
        <x:v>0</x:v>
      </x:c>
      <x:c r="H228" t="n">
        <x:v>0</x:v>
      </x:c>
      <x:c r="I228" t="n">
        <x:v>0</x:v>
      </x:c>
      <x:c r="J228" s="28" t="n">
        <x:v>213300</x:v>
      </x:c>
      <x:c r="K228" s="28" t="n">
        <x:v>0</x:v>
      </x:c>
      <x:c r="L228" t="n">
        <x:v>1</x:v>
      </x:c>
      <x:c r="M228" t="str">
        <x:v>SINTETICO</x:v>
      </x:c>
    </x:row>
    <x:row r="229">
      <x:c r="A229" t="str">
        <x:v>CASO-0114-to_be</x:v>
      </x:c>
      <x:c r="B229" t="str">
        <x:v>TO-BE</x:v>
      </x:c>
      <x:c r="C229" t="str">
        <x:v>2026-09</x:v>
      </x:c>
      <x:c r="D229" s="26" t="n">
        <x:v>1.181</x:v>
      </x:c>
      <x:c r="E229" s="26" t="n">
        <x:v>21.917</x:v>
      </x:c>
      <x:c r="F229" s="26" t="n">
        <x:v>23.098</x:v>
      </x:c>
      <x:c r="G229" t="n">
        <x:v>0</x:v>
      </x:c>
      <x:c r="H229" t="n">
        <x:v>1</x:v>
      </x:c>
      <x:c r="I229" t="n">
        <x:v>1</x:v>
      </x:c>
      <x:c r="J229" s="28" t="n">
        <x:v>70860</x:v>
      </x:c>
      <x:c r="K229" s="28" t="n">
        <x:v>0</x:v>
      </x:c>
      <x:c r="L229" t="n">
        <x:v>1</x:v>
      </x:c>
      <x:c r="M229" t="str">
        <x:v>SINTETICO</x:v>
      </x:c>
    </x:row>
    <x:row r="230">
      <x:c r="A230" t="str">
        <x:v>CASO-0115-as_is</x:v>
      </x:c>
      <x:c r="B230" t="str">
        <x:v>AS-IS</x:v>
      </x:c>
      <x:c r="C230" t="str">
        <x:v>2026-09</x:v>
      </x:c>
      <x:c r="D230" s="26" t="n">
        <x:v>3.129</x:v>
      </x:c>
      <x:c r="E230" s="26" t="n">
        <x:v>53.826</x:v>
      </x:c>
      <x:c r="F230" s="26" t="n">
        <x:v>56.955</x:v>
      </x:c>
      <x:c r="G230" t="n">
        <x:v>0</x:v>
      </x:c>
      <x:c r="H230" t="n">
        <x:v>0</x:v>
      </x:c>
      <x:c r="I230" t="n">
        <x:v>0</x:v>
      </x:c>
      <x:c r="J230" s="28" t="n">
        <x:v>187740</x:v>
      </x:c>
      <x:c r="K230" s="28" t="n">
        <x:v>0</x:v>
      </x:c>
      <x:c r="L230" t="n">
        <x:v>1</x:v>
      </x:c>
      <x:c r="M230" t="str">
        <x:v>SINTETICO</x:v>
      </x:c>
    </x:row>
    <x:row r="231">
      <x:c r="A231" t="str">
        <x:v>CASO-0115-to_be</x:v>
      </x:c>
      <x:c r="B231" t="str">
        <x:v>TO-BE</x:v>
      </x:c>
      <x:c r="C231" t="str">
        <x:v>2026-09</x:v>
      </x:c>
      <x:c r="D231" s="26" t="n">
        <x:v>1.356</x:v>
      </x:c>
      <x:c r="E231" s="26" t="n">
        <x:v>25.272</x:v>
      </x:c>
      <x:c r="F231" s="26" t="n">
        <x:v>26.628</x:v>
      </x:c>
      <x:c r="G231" t="n">
        <x:v>0</x:v>
      </x:c>
      <x:c r="H231" t="n">
        <x:v>0</x:v>
      </x:c>
      <x:c r="I231" t="n">
        <x:v>1</x:v>
      </x:c>
      <x:c r="J231" s="28" t="n">
        <x:v>81360</x:v>
      </x:c>
      <x:c r="K231" s="28" t="n">
        <x:v>0</x:v>
      </x:c>
      <x:c r="L231" t="n">
        <x:v>1</x:v>
      </x:c>
      <x:c r="M231" t="str">
        <x:v>SINTETICO</x:v>
      </x:c>
    </x:row>
    <x:row r="232">
      <x:c r="A232" t="str">
        <x:v>CASO-0116-as_is</x:v>
      </x:c>
      <x:c r="B232" t="str">
        <x:v>AS-IS</x:v>
      </x:c>
      <x:c r="C232" t="str">
        <x:v>2026-09</x:v>
      </x:c>
      <x:c r="D232" s="26" t="n">
        <x:v>2.305</x:v>
      </x:c>
      <x:c r="E232" s="26" t="n">
        <x:v>40.743</x:v>
      </x:c>
      <x:c r="F232" s="26" t="n">
        <x:v>43.048</x:v>
      </x:c>
      <x:c r="G232" t="n">
        <x:v>1</x:v>
      </x:c>
      <x:c r="H232" t="n">
        <x:v>1</x:v>
      </x:c>
      <x:c r="I232" t="n">
        <x:v>0</x:v>
      </x:c>
      <x:c r="J232" s="28" t="n">
        <x:v>138300</x:v>
      </x:c>
      <x:c r="K232" s="28" t="n">
        <x:v>70000</x:v>
      </x:c>
      <x:c r="L232" t="n">
        <x:v>1</x:v>
      </x:c>
      <x:c r="M232" t="str">
        <x:v>SINTETICO</x:v>
      </x:c>
    </x:row>
    <x:row r="233">
      <x:c r="A233" t="str">
        <x:v>CASO-0116-to_be</x:v>
      </x:c>
      <x:c r="B233" t="str">
        <x:v>TO-BE</x:v>
      </x:c>
      <x:c r="C233" t="str">
        <x:v>2026-09</x:v>
      </x:c>
      <x:c r="D233" s="26" t="n">
        <x:v>0.936</x:v>
      </x:c>
      <x:c r="E233" s="26" t="n">
        <x:v>23.382</x:v>
      </x:c>
      <x:c r="F233" s="26" t="n">
        <x:v>24.318</x:v>
      </x:c>
      <x:c r="G233" t="n">
        <x:v>1</x:v>
      </x:c>
      <x:c r="H233" t="n">
        <x:v>0</x:v>
      </x:c>
      <x:c r="I233" t="n">
        <x:v>1</x:v>
      </x:c>
      <x:c r="J233" s="28" t="n">
        <x:v>56160</x:v>
      </x:c>
      <x:c r="K233" s="28" t="n">
        <x:v>70000</x:v>
      </x:c>
      <x:c r="L233" t="n">
        <x:v>1</x:v>
      </x:c>
      <x:c r="M233" t="str">
        <x:v>SINTETICO</x:v>
      </x:c>
    </x:row>
    <x:row r="234">
      <x:c r="A234" t="str">
        <x:v>CASO-0117-as_is</x:v>
      </x:c>
      <x:c r="B234" t="str">
        <x:v>AS-IS</x:v>
      </x:c>
      <x:c r="C234" t="str">
        <x:v>2026-09</x:v>
      </x:c>
      <x:c r="D234" s="26" t="n">
        <x:v>3.377</x:v>
      </x:c>
      <x:c r="E234" s="26" t="n">
        <x:v>51.617</x:v>
      </x:c>
      <x:c r="F234" s="26" t="n">
        <x:v>54.994</x:v>
      </x:c>
      <x:c r="G234" t="n">
        <x:v>0</x:v>
      </x:c>
      <x:c r="H234" t="n">
        <x:v>0</x:v>
      </x:c>
      <x:c r="I234" t="n">
        <x:v>1</x:v>
      </x:c>
      <x:c r="J234" s="28" t="n">
        <x:v>202620</x:v>
      </x:c>
      <x:c r="K234" s="28" t="n">
        <x:v>0</x:v>
      </x:c>
      <x:c r="L234" t="n">
        <x:v>0</x:v>
      </x:c>
      <x:c r="M234" t="str">
        <x:v>SINTETICO</x:v>
      </x:c>
    </x:row>
    <x:row r="235">
      <x:c r="A235" t="str">
        <x:v>CASO-0117-to_be</x:v>
      </x:c>
      <x:c r="B235" t="str">
        <x:v>TO-BE</x:v>
      </x:c>
      <x:c r="C235" t="str">
        <x:v>2026-09</x:v>
      </x:c>
      <x:c r="D235" s="26" t="n">
        <x:v>1.472</x:v>
      </x:c>
      <x:c r="E235" s="26" t="n">
        <x:v>32.179</x:v>
      </x:c>
      <x:c r="F235" s="26" t="n">
        <x:v>33.651</x:v>
      </x:c>
      <x:c r="G235" t="n">
        <x:v>0</x:v>
      </x:c>
      <x:c r="H235" t="n">
        <x:v>0</x:v>
      </x:c>
      <x:c r="I235" t="n">
        <x:v>1</x:v>
      </x:c>
      <x:c r="J235" s="28" t="n">
        <x:v>88320</x:v>
      </x:c>
      <x:c r="K235" s="28" t="n">
        <x:v>0</x:v>
      </x:c>
      <x:c r="L235" t="n">
        <x:v>0</x:v>
      </x:c>
      <x:c r="M235" t="str">
        <x:v>SINTETICO</x:v>
      </x:c>
    </x:row>
    <x:row r="236">
      <x:c r="A236" t="str">
        <x:v>CASO-0118-as_is</x:v>
      </x:c>
      <x:c r="B236" t="str">
        <x:v>AS-IS</x:v>
      </x:c>
      <x:c r="C236" t="str">
        <x:v>2026-09</x:v>
      </x:c>
      <x:c r="D236" s="26" t="n">
        <x:v>2.932</x:v>
      </x:c>
      <x:c r="E236" s="26" t="n">
        <x:v>31.282</x:v>
      </x:c>
      <x:c r="F236" s="26" t="n">
        <x:v>34.214</x:v>
      </x:c>
      <x:c r="G236" t="n">
        <x:v>0</x:v>
      </x:c>
      <x:c r="H236" t="n">
        <x:v>0</x:v>
      </x:c>
      <x:c r="I236" t="n">
        <x:v>0</x:v>
      </x:c>
      <x:c r="J236" s="28" t="n">
        <x:v>175920</x:v>
      </x:c>
      <x:c r="K236" s="28" t="n">
        <x:v>0</x:v>
      </x:c>
      <x:c r="L236" t="n">
        <x:v>0</x:v>
      </x:c>
      <x:c r="M236" t="str">
        <x:v>SINTETICO</x:v>
      </x:c>
    </x:row>
    <x:row r="237">
      <x:c r="A237" t="str">
        <x:v>CASO-0118-to_be</x:v>
      </x:c>
      <x:c r="B237" t="str">
        <x:v>TO-BE</x:v>
      </x:c>
      <x:c r="C237" t="str">
        <x:v>2026-09</x:v>
      </x:c>
      <x:c r="D237" s="26" t="n">
        <x:v>1.234</x:v>
      </x:c>
      <x:c r="E237" s="26" t="n">
        <x:v>15.863</x:v>
      </x:c>
      <x:c r="F237" s="26" t="n">
        <x:v>17.097</x:v>
      </x:c>
      <x:c r="G237" t="n">
        <x:v>0</x:v>
      </x:c>
      <x:c r="H237" t="n">
        <x:v>0</x:v>
      </x:c>
      <x:c r="I237" t="n">
        <x:v>1</x:v>
      </x:c>
      <x:c r="J237" s="28" t="n">
        <x:v>74040</x:v>
      </x:c>
      <x:c r="K237" s="28" t="n">
        <x:v>0</x:v>
      </x:c>
      <x:c r="L237" t="n">
        <x:v>0</x:v>
      </x:c>
      <x:c r="M237" t="str">
        <x:v>SINTETICO</x:v>
      </x:c>
    </x:row>
    <x:row r="238">
      <x:c r="A238" t="str">
        <x:v>CASO-0119-as_is</x:v>
      </x:c>
      <x:c r="B238" t="str">
        <x:v>AS-IS</x:v>
      </x:c>
      <x:c r="C238" t="str">
        <x:v>2026-09</x:v>
      </x:c>
      <x:c r="D238" s="26" t="n">
        <x:v>3.766</x:v>
      </x:c>
      <x:c r="E238" s="26" t="n">
        <x:v>47.446</x:v>
      </x:c>
      <x:c r="F238" s="26" t="n">
        <x:v>51.212</x:v>
      </x:c>
      <x:c r="G238" t="n">
        <x:v>0</x:v>
      </x:c>
      <x:c r="H238" t="n">
        <x:v>1</x:v>
      </x:c>
      <x:c r="I238" t="n">
        <x:v>1</x:v>
      </x:c>
      <x:c r="J238" s="28" t="n">
        <x:v>225960</x:v>
      </x:c>
      <x:c r="K238" s="28" t="n">
        <x:v>0</x:v>
      </x:c>
      <x:c r="L238" t="n">
        <x:v>0</x:v>
      </x:c>
      <x:c r="M238" t="str">
        <x:v>SINTETICO</x:v>
      </x:c>
    </x:row>
    <x:row r="239">
      <x:c r="A239" t="str">
        <x:v>CASO-0119-to_be</x:v>
      </x:c>
      <x:c r="B239" t="str">
        <x:v>TO-BE</x:v>
      </x:c>
      <x:c r="C239" t="str">
        <x:v>2026-09</x:v>
      </x:c>
      <x:c r="D239" s="26" t="n">
        <x:v>1.191</x:v>
      </x:c>
      <x:c r="E239" s="26" t="n">
        <x:v>20.002</x:v>
      </x:c>
      <x:c r="F239" s="26" t="n">
        <x:v>21.193</x:v>
      </x:c>
      <x:c r="G239" t="n">
        <x:v>0</x:v>
      </x:c>
      <x:c r="H239" t="n">
        <x:v>0</x:v>
      </x:c>
      <x:c r="I239" t="n">
        <x:v>1</x:v>
      </x:c>
      <x:c r="J239" s="28" t="n">
        <x:v>71460</x:v>
      </x:c>
      <x:c r="K239" s="28" t="n">
        <x:v>0</x:v>
      </x:c>
      <x:c r="L239" t="n">
        <x:v>0</x:v>
      </x:c>
      <x:c r="M239" t="str">
        <x:v>SINTETICO</x:v>
      </x:c>
    </x:row>
    <x:row r="240">
      <x:c r="A240" t="str">
        <x:v>CASO-0120-as_is</x:v>
      </x:c>
      <x:c r="B240" t="str">
        <x:v>AS-IS</x:v>
      </x:c>
      <x:c r="C240" t="str">
        <x:v>2026-09</x:v>
      </x:c>
      <x:c r="D240" s="26" t="n">
        <x:v>2.699</x:v>
      </x:c>
      <x:c r="E240" s="26" t="n">
        <x:v>47.953</x:v>
      </x:c>
      <x:c r="F240" s="26" t="n">
        <x:v>50.652</x:v>
      </x:c>
      <x:c r="G240" t="n">
        <x:v>0</x:v>
      </x:c>
      <x:c r="H240" t="n">
        <x:v>0</x:v>
      </x:c>
      <x:c r="I240" t="n">
        <x:v>0</x:v>
      </x:c>
      <x:c r="J240" s="28" t="n">
        <x:v>161940</x:v>
      </x:c>
      <x:c r="K240" s="28" t="n">
        <x:v>0</x:v>
      </x:c>
      <x:c r="L240" t="n">
        <x:v>0</x:v>
      </x:c>
      <x:c r="M240" t="str">
        <x:v>SINTETICO</x:v>
      </x:c>
    </x:row>
    <x:row r="241">
      <x:c r="A241" t="str">
        <x:v>CASO-0120-to_be</x:v>
      </x:c>
      <x:c r="B241" t="str">
        <x:v>TO-BE</x:v>
      </x:c>
      <x:c r="C241" t="str">
        <x:v>2026-09</x:v>
      </x:c>
      <x:c r="D241" s="26" t="n">
        <x:v>1.297</x:v>
      </x:c>
      <x:c r="E241" s="26" t="n">
        <x:v>17.818</x:v>
      </x:c>
      <x:c r="F241" s="26" t="n">
        <x:v>19.115</x:v>
      </x:c>
      <x:c r="G241" t="n">
        <x:v>1</x:v>
      </x:c>
      <x:c r="H241" t="n">
        <x:v>0</x:v>
      </x:c>
      <x:c r="I241" t="n">
        <x:v>1</x:v>
      </x:c>
      <x:c r="J241" s="28" t="n">
        <x:v>77820</x:v>
      </x:c>
      <x:c r="K241" s="28" t="n">
        <x:v>70000</x:v>
      </x:c>
      <x:c r="L241" t="n">
        <x:v>0</x:v>
      </x:c>
      <x:c r="M241" t="str">
        <x:v>SINTETICO</x:v>
      </x:c>
    </x:row>
    <x:row r="242">
      <x:c r="A242" t="str">
        <x:v>CASO-0121-as_is</x:v>
      </x:c>
      <x:c r="B242" t="str">
        <x:v>AS-IS</x:v>
      </x:c>
      <x:c r="C242" t="str">
        <x:v>2026-09</x:v>
      </x:c>
      <x:c r="D242" s="26" t="n">
        <x:v>2.42</x:v>
      </x:c>
      <x:c r="E242" s="26" t="n">
        <x:v>47.568</x:v>
      </x:c>
      <x:c r="F242" s="26" t="n">
        <x:v>49.988</x:v>
      </x:c>
      <x:c r="G242" t="n">
        <x:v>1</x:v>
      </x:c>
      <x:c r="H242" t="n">
        <x:v>0</x:v>
      </x:c>
      <x:c r="I242" t="n">
        <x:v>0</x:v>
      </x:c>
      <x:c r="J242" s="28" t="n">
        <x:v>145200</x:v>
      </x:c>
      <x:c r="K242" s="28" t="n">
        <x:v>70000</x:v>
      </x:c>
      <x:c r="L242" t="n">
        <x:v>0</x:v>
      </x:c>
      <x:c r="M242" t="str">
        <x:v>SINTETICO</x:v>
      </x:c>
    </x:row>
    <x:row r="243">
      <x:c r="A243" t="str">
        <x:v>CASO-0121-to_be</x:v>
      </x:c>
      <x:c r="B243" t="str">
        <x:v>TO-BE</x:v>
      </x:c>
      <x:c r="C243" t="str">
        <x:v>2026-09</x:v>
      </x:c>
      <x:c r="D243" s="26" t="n">
        <x:v>1.097</x:v>
      </x:c>
      <x:c r="E243" s="26" t="n">
        <x:v>23.442</x:v>
      </x:c>
      <x:c r="F243" s="26" t="n">
        <x:v>24.539</x:v>
      </x:c>
      <x:c r="G243" t="n">
        <x:v>0</x:v>
      </x:c>
      <x:c r="H243" t="n">
        <x:v>0</x:v>
      </x:c>
      <x:c r="I243" t="n">
        <x:v>1</x:v>
      </x:c>
      <x:c r="J243" s="28" t="n">
        <x:v>65820</x:v>
      </x:c>
      <x:c r="K243" s="28" t="n">
        <x:v>0</x:v>
      </x:c>
      <x:c r="L243" t="n">
        <x:v>0</x:v>
      </x:c>
      <x:c r="M243" t="str">
        <x:v>SINTETICO</x:v>
      </x:c>
    </x:row>
    <x:row r="244">
      <x:c r="A244" t="str">
        <x:v>CASO-0122-as_is</x:v>
      </x:c>
      <x:c r="B244" t="str">
        <x:v>AS-IS</x:v>
      </x:c>
      <x:c r="C244" t="str">
        <x:v>2026-09</x:v>
      </x:c>
      <x:c r="D244" s="26" t="n">
        <x:v>3.11</x:v>
      </x:c>
      <x:c r="E244" s="26" t="n">
        <x:v>39.999</x:v>
      </x:c>
      <x:c r="F244" s="26" t="n">
        <x:v>43.109</x:v>
      </x:c>
      <x:c r="G244" t="n">
        <x:v>1</x:v>
      </x:c>
      <x:c r="H244" t="n">
        <x:v>0</x:v>
      </x:c>
      <x:c r="I244" t="n">
        <x:v>0</x:v>
      </x:c>
      <x:c r="J244" s="28" t="n">
        <x:v>186600</x:v>
      </x:c>
      <x:c r="K244" s="28" t="n">
        <x:v>70000</x:v>
      </x:c>
      <x:c r="L244" t="n">
        <x:v>1</x:v>
      </x:c>
      <x:c r="M244" t="str">
        <x:v>SINTETICO</x:v>
      </x:c>
    </x:row>
    <x:row r="245">
      <x:c r="A245" t="str">
        <x:v>CASO-0122-to_be</x:v>
      </x:c>
      <x:c r="B245" t="str">
        <x:v>TO-BE</x:v>
      </x:c>
      <x:c r="C245" t="str">
        <x:v>2026-09</x:v>
      </x:c>
      <x:c r="D245" s="26" t="n">
        <x:v>1.277</x:v>
      </x:c>
      <x:c r="E245" s="26" t="n">
        <x:v>24.29</x:v>
      </x:c>
      <x:c r="F245" s="26" t="n">
        <x:v>25.567</x:v>
      </x:c>
      <x:c r="G245" t="n">
        <x:v>0</x:v>
      </x:c>
      <x:c r="H245" t="n">
        <x:v>0</x:v>
      </x:c>
      <x:c r="I245" t="n">
        <x:v>1</x:v>
      </x:c>
      <x:c r="J245" s="28" t="n">
        <x:v>76620</x:v>
      </x:c>
      <x:c r="K245" s="28" t="n">
        <x:v>0</x:v>
      </x:c>
      <x:c r="L245" t="n">
        <x:v>1</x:v>
      </x:c>
      <x:c r="M245" t="str">
        <x:v>SINTETICO</x:v>
      </x:c>
    </x:row>
    <x:row r="246">
      <x:c r="A246" t="str">
        <x:v>CASO-0123-as_is</x:v>
      </x:c>
      <x:c r="B246" t="str">
        <x:v>AS-IS</x:v>
      </x:c>
      <x:c r="C246" t="str">
        <x:v>2026-09</x:v>
      </x:c>
      <x:c r="D246" s="26" t="n">
        <x:v>3.272</x:v>
      </x:c>
      <x:c r="E246" s="26" t="n">
        <x:v>56.021</x:v>
      </x:c>
      <x:c r="F246" s="26" t="n">
        <x:v>59.293</x:v>
      </x:c>
      <x:c r="G246" t="n">
        <x:v>0</x:v>
      </x:c>
      <x:c r="H246" t="n">
        <x:v>1</x:v>
      </x:c>
      <x:c r="I246" t="n">
        <x:v>0</x:v>
      </x:c>
      <x:c r="J246" s="28" t="n">
        <x:v>196320</x:v>
      </x:c>
      <x:c r="K246" s="28" t="n">
        <x:v>0</x:v>
      </x:c>
      <x:c r="L246" t="n">
        <x:v>0</x:v>
      </x:c>
      <x:c r="M246" t="str">
        <x:v>SINTETICO</x:v>
      </x:c>
    </x:row>
    <x:row r="247">
      <x:c r="A247" t="str">
        <x:v>CASO-0123-to_be</x:v>
      </x:c>
      <x:c r="B247" t="str">
        <x:v>TO-BE</x:v>
      </x:c>
      <x:c r="C247" t="str">
        <x:v>2026-09</x:v>
      </x:c>
      <x:c r="D247" s="26" t="n">
        <x:v>1.5</x:v>
      </x:c>
      <x:c r="E247" s="26" t="n">
        <x:v>20.805</x:v>
      </x:c>
      <x:c r="F247" s="26" t="n">
        <x:v>22.305</x:v>
      </x:c>
      <x:c r="G247" t="n">
        <x:v>0</x:v>
      </x:c>
      <x:c r="H247" t="n">
        <x:v>0</x:v>
      </x:c>
      <x:c r="I247" t="n">
        <x:v>1</x:v>
      </x:c>
      <x:c r="J247" s="28" t="n">
        <x:v>90000</x:v>
      </x:c>
      <x:c r="K247" s="28" t="n">
        <x:v>0</x:v>
      </x:c>
      <x:c r="L247" t="n">
        <x:v>0</x:v>
      </x:c>
      <x:c r="M247" t="str">
        <x:v>SINTETICO</x:v>
      </x:c>
    </x:row>
    <x:row r="248">
      <x:c r="A248" t="str">
        <x:v>CASO-0124-as_is</x:v>
      </x:c>
      <x:c r="B248" t="str">
        <x:v>AS-IS</x:v>
      </x:c>
      <x:c r="C248" t="str">
        <x:v>2026-09</x:v>
      </x:c>
      <x:c r="D248" s="26" t="n">
        <x:v>3.5</x:v>
      </x:c>
      <x:c r="E248" s="26" t="n">
        <x:v>42.23</x:v>
      </x:c>
      <x:c r="F248" s="26" t="n">
        <x:v>45.73</x:v>
      </x:c>
      <x:c r="G248" t="n">
        <x:v>0</x:v>
      </x:c>
      <x:c r="H248" t="n">
        <x:v>0</x:v>
      </x:c>
      <x:c r="I248" t="n">
        <x:v>0</x:v>
      </x:c>
      <x:c r="J248" s="28" t="n">
        <x:v>210000</x:v>
      </x:c>
      <x:c r="K248" s="28" t="n">
        <x:v>0</x:v>
      </x:c>
      <x:c r="L248" t="n">
        <x:v>1</x:v>
      </x:c>
      <x:c r="M248" t="str">
        <x:v>SINTETICO</x:v>
      </x:c>
    </x:row>
    <x:row r="249">
      <x:c r="A249" t="str">
        <x:v>CASO-0124-to_be</x:v>
      </x:c>
      <x:c r="B249" t="str">
        <x:v>TO-BE</x:v>
      </x:c>
      <x:c r="C249" t="str">
        <x:v>2026-09</x:v>
      </x:c>
      <x:c r="D249" s="26" t="n">
        <x:v>1.445</x:v>
      </x:c>
      <x:c r="E249" s="26" t="n">
        <x:v>29.526</x:v>
      </x:c>
      <x:c r="F249" s="26" t="n">
        <x:v>30.971</x:v>
      </x:c>
      <x:c r="G249" t="n">
        <x:v>0</x:v>
      </x:c>
      <x:c r="H249" t="n">
        <x:v>0</x:v>
      </x:c>
      <x:c r="I249" t="n">
        <x:v>1</x:v>
      </x:c>
      <x:c r="J249" s="28" t="n">
        <x:v>86700</x:v>
      </x:c>
      <x:c r="K249" s="28" t="n">
        <x:v>0</x:v>
      </x:c>
      <x:c r="L249" t="n">
        <x:v>1</x:v>
      </x:c>
      <x:c r="M249" t="str">
        <x:v>SINTETICO</x:v>
      </x:c>
    </x:row>
    <x:row r="250">
      <x:c r="A250" t="str">
        <x:v>CASO-0125-as_is</x:v>
      </x:c>
      <x:c r="B250" t="str">
        <x:v>AS-IS</x:v>
      </x:c>
      <x:c r="C250" t="str">
        <x:v>2026-09</x:v>
      </x:c>
      <x:c r="D250" s="26" t="n">
        <x:v>3.55</x:v>
      </x:c>
      <x:c r="E250" s="26" t="n">
        <x:v>46.385</x:v>
      </x:c>
      <x:c r="F250" s="26" t="n">
        <x:v>49.935</x:v>
      </x:c>
      <x:c r="G250" t="n">
        <x:v>0</x:v>
      </x:c>
      <x:c r="H250" t="n">
        <x:v>0</x:v>
      </x:c>
      <x:c r="I250" t="n">
        <x:v>0</x:v>
      </x:c>
      <x:c r="J250" s="28" t="n">
        <x:v>213000</x:v>
      </x:c>
      <x:c r="K250" s="28" t="n">
        <x:v>0</x:v>
      </x:c>
      <x:c r="L250" t="n">
        <x:v>0</x:v>
      </x:c>
      <x:c r="M250" t="str">
        <x:v>SINTETICO</x:v>
      </x:c>
    </x:row>
    <x:row r="251">
      <x:c r="A251" t="str">
        <x:v>CASO-0125-to_be</x:v>
      </x:c>
      <x:c r="B251" t="str">
        <x:v>TO-BE</x:v>
      </x:c>
      <x:c r="C251" t="str">
        <x:v>2026-09</x:v>
      </x:c>
      <x:c r="D251" s="26" t="n">
        <x:v>1.203</x:v>
      </x:c>
      <x:c r="E251" s="26" t="n">
        <x:v>32.675</x:v>
      </x:c>
      <x:c r="F251" s="26" t="n">
        <x:v>33.878</x:v>
      </x:c>
      <x:c r="G251" t="n">
        <x:v>0</x:v>
      </x:c>
      <x:c r="H251" t="n">
        <x:v>0</x:v>
      </x:c>
      <x:c r="I251" t="n">
        <x:v>1</x:v>
      </x:c>
      <x:c r="J251" s="28" t="n">
        <x:v>72180</x:v>
      </x:c>
      <x:c r="K251" s="28" t="n">
        <x:v>0</x:v>
      </x:c>
      <x:c r="L251" t="n">
        <x:v>0</x:v>
      </x:c>
      <x:c r="M251" t="str">
        <x:v>SINTETICO</x:v>
      </x:c>
    </x:row>
    <x:row r="252">
      <x:c r="A252" t="str">
        <x:v>CASO-0126-as_is</x:v>
      </x:c>
      <x:c r="B252" t="str">
        <x:v>AS-IS</x:v>
      </x:c>
      <x:c r="C252" t="str">
        <x:v>2026-09</x:v>
      </x:c>
      <x:c r="D252" s="26" t="n">
        <x:v>2.219</x:v>
      </x:c>
      <x:c r="E252" s="26" t="n">
        <x:v>38.541</x:v>
      </x:c>
      <x:c r="F252" s="26" t="n">
        <x:v>40.76</x:v>
      </x:c>
      <x:c r="G252" t="n">
        <x:v>1</x:v>
      </x:c>
      <x:c r="H252" t="n">
        <x:v>0</x:v>
      </x:c>
      <x:c r="I252" t="n">
        <x:v>0</x:v>
      </x:c>
      <x:c r="J252" s="28" t="n">
        <x:v>133140</x:v>
      </x:c>
      <x:c r="K252" s="28" t="n">
        <x:v>70000</x:v>
      </x:c>
      <x:c r="L252" t="n">
        <x:v>0</x:v>
      </x:c>
      <x:c r="M252" t="str">
        <x:v>SINTETICO</x:v>
      </x:c>
    </x:row>
    <x:row r="253">
      <x:c r="A253" t="str">
        <x:v>CASO-0126-to_be</x:v>
      </x:c>
      <x:c r="B253" t="str">
        <x:v>TO-BE</x:v>
      </x:c>
      <x:c r="C253" t="str">
        <x:v>2026-09</x:v>
      </x:c>
      <x:c r="D253" s="26" t="n">
        <x:v>0.851</x:v>
      </x:c>
      <x:c r="E253" s="26" t="n">
        <x:v>18.257</x:v>
      </x:c>
      <x:c r="F253" s="26" t="n">
        <x:v>19.108</x:v>
      </x:c>
      <x:c r="G253" t="n">
        <x:v>0</x:v>
      </x:c>
      <x:c r="H253" t="n">
        <x:v>0</x:v>
      </x:c>
      <x:c r="I253" t="n">
        <x:v>1</x:v>
      </x:c>
      <x:c r="J253" s="28" t="n">
        <x:v>51060</x:v>
      </x:c>
      <x:c r="K253" s="28" t="n">
        <x:v>0</x:v>
      </x:c>
      <x:c r="L253" t="n">
        <x:v>0</x:v>
      </x:c>
      <x:c r="M253" t="str">
        <x:v>SINTETICO</x:v>
      </x:c>
    </x:row>
    <x:row r="254">
      <x:c r="A254" t="str">
        <x:v>CASO-0127-as_is</x:v>
      </x:c>
      <x:c r="B254" t="str">
        <x:v>AS-IS</x:v>
      </x:c>
      <x:c r="C254" t="str">
        <x:v>2026-09</x:v>
      </x:c>
      <x:c r="D254" s="26" t="n">
        <x:v>3.031</x:v>
      </x:c>
      <x:c r="E254" s="26" t="n">
        <x:v>44.126</x:v>
      </x:c>
      <x:c r="F254" s="26" t="n">
        <x:v>47.157</x:v>
      </x:c>
      <x:c r="G254" t="n">
        <x:v>0</x:v>
      </x:c>
      <x:c r="H254" t="n">
        <x:v>1</x:v>
      </x:c>
      <x:c r="I254" t="n">
        <x:v>0</x:v>
      </x:c>
      <x:c r="J254" s="28" t="n">
        <x:v>181860</x:v>
      </x:c>
      <x:c r="K254" s="28" t="n">
        <x:v>0</x:v>
      </x:c>
      <x:c r="L254" t="n">
        <x:v>1</x:v>
      </x:c>
      <x:c r="M254" t="str">
        <x:v>SINTETICO</x:v>
      </x:c>
    </x:row>
    <x:row r="255">
      <x:c r="A255" t="str">
        <x:v>CASO-0127-to_be</x:v>
      </x:c>
      <x:c r="B255" t="str">
        <x:v>TO-BE</x:v>
      </x:c>
      <x:c r="C255" t="str">
        <x:v>2026-09</x:v>
      </x:c>
      <x:c r="D255" s="26" t="n">
        <x:v>1.304</x:v>
      </x:c>
      <x:c r="E255" s="26" t="n">
        <x:v>22.259</x:v>
      </x:c>
      <x:c r="F255" s="26" t="n">
        <x:v>23.563</x:v>
      </x:c>
      <x:c r="G255" t="n">
        <x:v>0</x:v>
      </x:c>
      <x:c r="H255" t="n">
        <x:v>0</x:v>
      </x:c>
      <x:c r="I255" t="n">
        <x:v>0</x:v>
      </x:c>
      <x:c r="J255" s="28" t="n">
        <x:v>78240</x:v>
      </x:c>
      <x:c r="K255" s="28" t="n">
        <x:v>0</x:v>
      </x:c>
      <x:c r="L255" t="n">
        <x:v>1</x:v>
      </x:c>
      <x:c r="M255" t="str">
        <x:v>SINTETICO</x:v>
      </x:c>
    </x:row>
    <x:row r="256">
      <x:c r="A256" t="str">
        <x:v>CASO-0128-as_is</x:v>
      </x:c>
      <x:c r="B256" t="str">
        <x:v>AS-IS</x:v>
      </x:c>
      <x:c r="C256" t="str">
        <x:v>2026-09</x:v>
      </x:c>
      <x:c r="D256" s="26" t="n">
        <x:v>2.889</x:v>
      </x:c>
      <x:c r="E256" s="26" t="n">
        <x:v>42.479</x:v>
      </x:c>
      <x:c r="F256" s="26" t="n">
        <x:v>45.368</x:v>
      </x:c>
      <x:c r="G256" t="n">
        <x:v>0</x:v>
      </x:c>
      <x:c r="H256" t="n">
        <x:v>0</x:v>
      </x:c>
      <x:c r="I256" t="n">
        <x:v>0</x:v>
      </x:c>
      <x:c r="J256" s="28" t="n">
        <x:v>173340</x:v>
      </x:c>
      <x:c r="K256" s="28" t="n">
        <x:v>0</x:v>
      </x:c>
      <x:c r="L256" t="n">
        <x:v>0</x:v>
      </x:c>
      <x:c r="M256" t="str">
        <x:v>SINTETICO</x:v>
      </x:c>
    </x:row>
    <x:row r="257">
      <x:c r="A257" t="str">
        <x:v>CASO-0128-to_be</x:v>
      </x:c>
      <x:c r="B257" t="str">
        <x:v>TO-BE</x:v>
      </x:c>
      <x:c r="C257" t="str">
        <x:v>2026-09</x:v>
      </x:c>
      <x:c r="D257" s="26" t="n">
        <x:v>1.265</x:v>
      </x:c>
      <x:c r="E257" s="26" t="n">
        <x:v>24.23</x:v>
      </x:c>
      <x:c r="F257" s="26" t="n">
        <x:v>25.495</x:v>
      </x:c>
      <x:c r="G257" t="n">
        <x:v>0</x:v>
      </x:c>
      <x:c r="H257" t="n">
        <x:v>0</x:v>
      </x:c>
      <x:c r="I257" t="n">
        <x:v>1</x:v>
      </x:c>
      <x:c r="J257" s="28" t="n">
        <x:v>75900</x:v>
      </x:c>
      <x:c r="K257" s="28" t="n">
        <x:v>0</x:v>
      </x:c>
      <x:c r="L257" t="n">
        <x:v>0</x:v>
      </x:c>
      <x:c r="M257" t="str">
        <x:v>SINTETICO</x:v>
      </x:c>
    </x:row>
    <x:row r="258">
      <x:c r="A258" t="str">
        <x:v>CASO-0129-as_is</x:v>
      </x:c>
      <x:c r="B258" t="str">
        <x:v>AS-IS</x:v>
      </x:c>
      <x:c r="C258" t="str">
        <x:v>2026-09</x:v>
      </x:c>
      <x:c r="D258" s="26" t="n">
        <x:v>2.224</x:v>
      </x:c>
      <x:c r="E258" s="26" t="n">
        <x:v>34.662</x:v>
      </x:c>
      <x:c r="F258" s="26" t="n">
        <x:v>36.886</x:v>
      </x:c>
      <x:c r="G258" t="n">
        <x:v>0</x:v>
      </x:c>
      <x:c r="H258" t="n">
        <x:v>1</x:v>
      </x:c>
      <x:c r="I258" t="n">
        <x:v>0</x:v>
      </x:c>
      <x:c r="J258" s="28" t="n">
        <x:v>133440</x:v>
      </x:c>
      <x:c r="K258" s="28" t="n">
        <x:v>0</x:v>
      </x:c>
      <x:c r="L258" t="n">
        <x:v>0</x:v>
      </x:c>
      <x:c r="M258" t="str">
        <x:v>SINTETICO</x:v>
      </x:c>
    </x:row>
    <x:row r="259">
      <x:c r="A259" t="str">
        <x:v>CASO-0129-to_be</x:v>
      </x:c>
      <x:c r="B259" t="str">
        <x:v>TO-BE</x:v>
      </x:c>
      <x:c r="C259" t="str">
        <x:v>2026-09</x:v>
      </x:c>
      <x:c r="D259" s="26" t="n">
        <x:v>0.974</x:v>
      </x:c>
      <x:c r="E259" s="26" t="n">
        <x:v>23.413</x:v>
      </x:c>
      <x:c r="F259" s="26" t="n">
        <x:v>24.387</x:v>
      </x:c>
      <x:c r="G259" t="n">
        <x:v>0</x:v>
      </x:c>
      <x:c r="H259" t="n">
        <x:v>0</x:v>
      </x:c>
      <x:c r="I259" t="n">
        <x:v>0</x:v>
      </x:c>
      <x:c r="J259" s="28" t="n">
        <x:v>58440</x:v>
      </x:c>
      <x:c r="K259" s="28" t="n">
        <x:v>0</x:v>
      </x:c>
      <x:c r="L259" t="n">
        <x:v>0</x:v>
      </x:c>
      <x:c r="M259" t="str">
        <x:v>SINTETICO</x:v>
      </x:c>
    </x:row>
    <x:row r="260">
      <x:c r="A260" t="str">
        <x:v>CASO-0130-as_is</x:v>
      </x:c>
      <x:c r="B260" t="str">
        <x:v>AS-IS</x:v>
      </x:c>
      <x:c r="C260" t="str">
        <x:v>2026-09</x:v>
      </x:c>
      <x:c r="D260" s="26" t="n">
        <x:v>2.969</x:v>
      </x:c>
      <x:c r="E260" s="26" t="n">
        <x:v>44.45</x:v>
      </x:c>
      <x:c r="F260" s="26" t="n">
        <x:v>47.419</x:v>
      </x:c>
      <x:c r="G260" t="n">
        <x:v>0</x:v>
      </x:c>
      <x:c r="H260" t="n">
        <x:v>1</x:v>
      </x:c>
      <x:c r="I260" t="n">
        <x:v>0</x:v>
      </x:c>
      <x:c r="J260" s="28" t="n">
        <x:v>178140</x:v>
      </x:c>
      <x:c r="K260" s="28" t="n">
        <x:v>0</x:v>
      </x:c>
      <x:c r="L260" t="n">
        <x:v>0</x:v>
      </x:c>
      <x:c r="M260" t="str">
        <x:v>SINTETICO</x:v>
      </x:c>
    </x:row>
    <x:row r="261">
      <x:c r="A261" t="str">
        <x:v>CASO-0130-to_be</x:v>
      </x:c>
      <x:c r="B261" t="str">
        <x:v>TO-BE</x:v>
      </x:c>
      <x:c r="C261" t="str">
        <x:v>2026-09</x:v>
      </x:c>
      <x:c r="D261" s="26" t="n">
        <x:v>1.254</x:v>
      </x:c>
      <x:c r="E261" s="26" t="n">
        <x:v>23.927</x:v>
      </x:c>
      <x:c r="F261" s="26" t="n">
        <x:v>25.181</x:v>
      </x:c>
      <x:c r="G261" t="n">
        <x:v>0</x:v>
      </x:c>
      <x:c r="H261" t="n">
        <x:v>0</x:v>
      </x:c>
      <x:c r="I261" t="n">
        <x:v>1</x:v>
      </x:c>
      <x:c r="J261" s="28" t="n">
        <x:v>75240</x:v>
      </x:c>
      <x:c r="K261" s="28" t="n">
        <x:v>0</x:v>
      </x:c>
      <x:c r="L261" t="n">
        <x:v>0</x:v>
      </x:c>
      <x:c r="M261" t="str">
        <x:v>SINTETICO</x:v>
      </x:c>
    </x:row>
    <x:row r="262">
      <x:c r="A262" t="str">
        <x:v>CASO-0131-as_is</x:v>
      </x:c>
      <x:c r="B262" t="str">
        <x:v>AS-IS</x:v>
      </x:c>
      <x:c r="C262" t="str">
        <x:v>2026-09</x:v>
      </x:c>
      <x:c r="D262" s="26" t="n">
        <x:v>3.457</x:v>
      </x:c>
      <x:c r="E262" s="26" t="n">
        <x:v>42.683</x:v>
      </x:c>
      <x:c r="F262" s="26" t="n">
        <x:v>46.14</x:v>
      </x:c>
      <x:c r="G262" t="n">
        <x:v>1</x:v>
      </x:c>
      <x:c r="H262" t="n">
        <x:v>0</x:v>
      </x:c>
      <x:c r="I262" t="n">
        <x:v>0</x:v>
      </x:c>
      <x:c r="J262" s="28" t="n">
        <x:v>207420</x:v>
      </x:c>
      <x:c r="K262" s="28" t="n">
        <x:v>70000</x:v>
      </x:c>
      <x:c r="L262" t="n">
        <x:v>0</x:v>
      </x:c>
      <x:c r="M262" t="str">
        <x:v>SINTETICO</x:v>
      </x:c>
    </x:row>
    <x:row r="263">
      <x:c r="A263" t="str">
        <x:v>CASO-0131-to_be</x:v>
      </x:c>
      <x:c r="B263" t="str">
        <x:v>TO-BE</x:v>
      </x:c>
      <x:c r="C263" t="str">
        <x:v>2026-09</x:v>
      </x:c>
      <x:c r="D263" s="26" t="n">
        <x:v>1.339</x:v>
      </x:c>
      <x:c r="E263" s="26" t="n">
        <x:v>26.983</x:v>
      </x:c>
      <x:c r="F263" s="26" t="n">
        <x:v>28.322</x:v>
      </x:c>
      <x:c r="G263" t="n">
        <x:v>0</x:v>
      </x:c>
      <x:c r="H263" t="n">
        <x:v>0</x:v>
      </x:c>
      <x:c r="I263" t="n">
        <x:v>1</x:v>
      </x:c>
      <x:c r="J263" s="28" t="n">
        <x:v>80340</x:v>
      </x:c>
      <x:c r="K263" s="28" t="n">
        <x:v>0</x:v>
      </x:c>
      <x:c r="L263" t="n">
        <x:v>0</x:v>
      </x:c>
      <x:c r="M263" t="str">
        <x:v>SINTETICO</x:v>
      </x:c>
    </x:row>
    <x:row r="264">
      <x:c r="A264" t="str">
        <x:v>CASO-0132-as_is</x:v>
      </x:c>
      <x:c r="B264" t="str">
        <x:v>AS-IS</x:v>
      </x:c>
      <x:c r="C264" t="str">
        <x:v>2026-09</x:v>
      </x:c>
      <x:c r="D264" s="26" t="n">
        <x:v>2.583</x:v>
      </x:c>
      <x:c r="E264" s="26" t="n">
        <x:v>29.572</x:v>
      </x:c>
      <x:c r="F264" s="26" t="n">
        <x:v>32.155</x:v>
      </x:c>
      <x:c r="G264" t="n">
        <x:v>0</x:v>
      </x:c>
      <x:c r="H264" t="n">
        <x:v>1</x:v>
      </x:c>
      <x:c r="I264" t="n">
        <x:v>0</x:v>
      </x:c>
      <x:c r="J264" s="28" t="n">
        <x:v>154980</x:v>
      </x:c>
      <x:c r="K264" s="28" t="n">
        <x:v>0</x:v>
      </x:c>
      <x:c r="L264" t="n">
        <x:v>0</x:v>
      </x:c>
      <x:c r="M264" t="str">
        <x:v>SINTETICO</x:v>
      </x:c>
    </x:row>
    <x:row r="265">
      <x:c r="A265" t="str">
        <x:v>CASO-0132-to_be</x:v>
      </x:c>
      <x:c r="B265" t="str">
        <x:v>TO-BE</x:v>
      </x:c>
      <x:c r="C265" t="str">
        <x:v>2026-09</x:v>
      </x:c>
      <x:c r="D265" s="26" t="n">
        <x:v>1.227</x:v>
      </x:c>
      <x:c r="E265" s="26" t="n">
        <x:v>16.339</x:v>
      </x:c>
      <x:c r="F265" s="26" t="n">
        <x:v>17.566</x:v>
      </x:c>
      <x:c r="G265" t="n">
        <x:v>0</x:v>
      </x:c>
      <x:c r="H265" t="n">
        <x:v>0</x:v>
      </x:c>
      <x:c r="I265" t="n">
        <x:v>0</x:v>
      </x:c>
      <x:c r="J265" s="28" t="n">
        <x:v>73620</x:v>
      </x:c>
      <x:c r="K265" s="28" t="n">
        <x:v>0</x:v>
      </x:c>
      <x:c r="L265" t="n">
        <x:v>0</x:v>
      </x:c>
      <x:c r="M265" t="str">
        <x:v>SINTETICO</x:v>
      </x:c>
    </x:row>
    <x:row r="266">
      <x:c r="A266" t="str">
        <x:v>CASO-0133-as_is</x:v>
      </x:c>
      <x:c r="B266" t="str">
        <x:v>AS-IS</x:v>
      </x:c>
      <x:c r="C266" t="str">
        <x:v>2026-09</x:v>
      </x:c>
      <x:c r="D266" s="26" t="n">
        <x:v>2.041</x:v>
      </x:c>
      <x:c r="E266" s="26" t="n">
        <x:v>40.699</x:v>
      </x:c>
      <x:c r="F266" s="26" t="n">
        <x:v>42.74</x:v>
      </x:c>
      <x:c r="G266" t="n">
        <x:v>0</x:v>
      </x:c>
      <x:c r="H266" t="n">
        <x:v>0</x:v>
      </x:c>
      <x:c r="I266" t="n">
        <x:v>0</x:v>
      </x:c>
      <x:c r="J266" s="28" t="n">
        <x:v>122460</x:v>
      </x:c>
      <x:c r="K266" s="28" t="n">
        <x:v>0</x:v>
      </x:c>
      <x:c r="L266" t="n">
        <x:v>0</x:v>
      </x:c>
      <x:c r="M266" t="str">
        <x:v>SINTETICO</x:v>
      </x:c>
    </x:row>
    <x:row r="267">
      <x:c r="A267" t="str">
        <x:v>CASO-0133-to_be</x:v>
      </x:c>
      <x:c r="B267" t="str">
        <x:v>TO-BE</x:v>
      </x:c>
      <x:c r="C267" t="str">
        <x:v>2026-09</x:v>
      </x:c>
      <x:c r="D267" s="26" t="n">
        <x:v>0.996</x:v>
      </x:c>
      <x:c r="E267" s="26" t="n">
        <x:v>17.249</x:v>
      </x:c>
      <x:c r="F267" s="26" t="n">
        <x:v>18.245</x:v>
      </x:c>
      <x:c r="G267" t="n">
        <x:v>1</x:v>
      </x:c>
      <x:c r="H267" t="n">
        <x:v>0</x:v>
      </x:c>
      <x:c r="I267" t="n">
        <x:v>1</x:v>
      </x:c>
      <x:c r="J267" s="28" t="n">
        <x:v>59760</x:v>
      </x:c>
      <x:c r="K267" s="28" t="n">
        <x:v>70000</x:v>
      </x:c>
      <x:c r="L267" t="n">
        <x:v>0</x:v>
      </x:c>
      <x:c r="M267" t="str">
        <x:v>SINTETICO</x:v>
      </x:c>
    </x:row>
    <x:row r="268">
      <x:c r="A268" t="str">
        <x:v>CASO-0134-as_is</x:v>
      </x:c>
      <x:c r="B268" t="str">
        <x:v>AS-IS</x:v>
      </x:c>
      <x:c r="C268" t="str">
        <x:v>2026-09</x:v>
      </x:c>
      <x:c r="D268" s="26" t="n">
        <x:v>3.688</x:v>
      </x:c>
      <x:c r="E268" s="26" t="n">
        <x:v>42.53</x:v>
      </x:c>
      <x:c r="F268" s="26" t="n">
        <x:v>46.218</x:v>
      </x:c>
      <x:c r="G268" t="n">
        <x:v>0</x:v>
      </x:c>
      <x:c r="H268" t="n">
        <x:v>1</x:v>
      </x:c>
      <x:c r="I268" t="n">
        <x:v>1</x:v>
      </x:c>
      <x:c r="J268" s="28" t="n">
        <x:v>221280</x:v>
      </x:c>
      <x:c r="K268" s="28" t="n">
        <x:v>0</x:v>
      </x:c>
      <x:c r="L268" t="n">
        <x:v>0</x:v>
      </x:c>
      <x:c r="M268" t="str">
        <x:v>SINTETICO</x:v>
      </x:c>
    </x:row>
    <x:row r="269">
      <x:c r="A269" t="str">
        <x:v>CASO-0134-to_be</x:v>
      </x:c>
      <x:c r="B269" t="str">
        <x:v>TO-BE</x:v>
      </x:c>
      <x:c r="C269" t="str">
        <x:v>2026-09</x:v>
      </x:c>
      <x:c r="D269" s="26" t="n">
        <x:v>1.337</x:v>
      </x:c>
      <x:c r="E269" s="26" t="n">
        <x:v>29.007</x:v>
      </x:c>
      <x:c r="F269" s="26" t="n">
        <x:v>30.344</x:v>
      </x:c>
      <x:c r="G269" t="n">
        <x:v>0</x:v>
      </x:c>
      <x:c r="H269" t="n">
        <x:v>0</x:v>
      </x:c>
      <x:c r="I269" t="n">
        <x:v>1</x:v>
      </x:c>
      <x:c r="J269" s="28" t="n">
        <x:v>80220</x:v>
      </x:c>
      <x:c r="K269" s="28" t="n">
        <x:v>0</x:v>
      </x:c>
      <x:c r="L269" t="n">
        <x:v>0</x:v>
      </x:c>
      <x:c r="M269" t="str">
        <x:v>SINTETICO</x:v>
      </x:c>
    </x:row>
    <x:row r="270">
      <x:c r="A270" t="str">
        <x:v>CASO-0135-as_is</x:v>
      </x:c>
      <x:c r="B270" t="str">
        <x:v>AS-IS</x:v>
      </x:c>
      <x:c r="C270" t="str">
        <x:v>2026-09</x:v>
      </x:c>
      <x:c r="D270" s="26" t="n">
        <x:v>2.625</x:v>
      </x:c>
      <x:c r="E270" s="26" t="n">
        <x:v>31.485</x:v>
      </x:c>
      <x:c r="F270" s="26" t="n">
        <x:v>34.11</x:v>
      </x:c>
      <x:c r="G270" t="n">
        <x:v>0</x:v>
      </x:c>
      <x:c r="H270" t="n">
        <x:v>1</x:v>
      </x:c>
      <x:c r="I270" t="n">
        <x:v>0</x:v>
      </x:c>
      <x:c r="J270" s="28" t="n">
        <x:v>157500</x:v>
      </x:c>
      <x:c r="K270" s="28" t="n">
        <x:v>0</x:v>
      </x:c>
      <x:c r="L270" t="n">
        <x:v>1</x:v>
      </x:c>
      <x:c r="M270" t="str">
        <x:v>SINTETICO</x:v>
      </x:c>
    </x:row>
    <x:row r="271">
      <x:c r="A271" t="str">
        <x:v>CASO-0135-to_be</x:v>
      </x:c>
      <x:c r="B271" t="str">
        <x:v>TO-BE</x:v>
      </x:c>
      <x:c r="C271" t="str">
        <x:v>2026-09</x:v>
      </x:c>
      <x:c r="D271" s="26" t="n">
        <x:v>1.233</x:v>
      </x:c>
      <x:c r="E271" s="26" t="n">
        <x:v>15.309</x:v>
      </x:c>
      <x:c r="F271" s="26" t="n">
        <x:v>16.542</x:v>
      </x:c>
      <x:c r="G271" t="n">
        <x:v>0</x:v>
      </x:c>
      <x:c r="H271" t="n">
        <x:v>0</x:v>
      </x:c>
      <x:c r="I271" t="n">
        <x:v>1</x:v>
      </x:c>
      <x:c r="J271" s="28" t="n">
        <x:v>73980</x:v>
      </x:c>
      <x:c r="K271" s="28" t="n">
        <x:v>0</x:v>
      </x:c>
      <x:c r="L271" t="n">
        <x:v>1</x:v>
      </x:c>
      <x:c r="M271" t="str">
        <x:v>SINTETICO</x:v>
      </x:c>
    </x:row>
    <x:row r="272">
      <x:c r="A272" t="str">
        <x:v>CASO-0136-as_is</x:v>
      </x:c>
      <x:c r="B272" t="str">
        <x:v>AS-IS</x:v>
      </x:c>
      <x:c r="C272" t="str">
        <x:v>2026-09</x:v>
      </x:c>
      <x:c r="D272" s="26" t="n">
        <x:v>3.59</x:v>
      </x:c>
      <x:c r="E272" s="26" t="n">
        <x:v>33.042</x:v>
      </x:c>
      <x:c r="F272" s="26" t="n">
        <x:v>36.632</x:v>
      </x:c>
      <x:c r="G272" t="n">
        <x:v>0</x:v>
      </x:c>
      <x:c r="H272" t="n">
        <x:v>1</x:v>
      </x:c>
      <x:c r="I272" t="n">
        <x:v>0</x:v>
      </x:c>
      <x:c r="J272" s="28" t="n">
        <x:v>215400</x:v>
      </x:c>
      <x:c r="K272" s="28" t="n">
        <x:v>0</x:v>
      </x:c>
      <x:c r="L272" t="n">
        <x:v>1</x:v>
      </x:c>
      <x:c r="M272" t="str">
        <x:v>SINTETICO</x:v>
      </x:c>
    </x:row>
    <x:row r="273">
      <x:c r="A273" t="str">
        <x:v>CASO-0136-to_be</x:v>
      </x:c>
      <x:c r="B273" t="str">
        <x:v>TO-BE</x:v>
      </x:c>
      <x:c r="C273" t="str">
        <x:v>2026-09</x:v>
      </x:c>
      <x:c r="D273" s="26" t="n">
        <x:v>1.214</x:v>
      </x:c>
      <x:c r="E273" s="26" t="n">
        <x:v>28.13</x:v>
      </x:c>
      <x:c r="F273" s="26" t="n">
        <x:v>29.344</x:v>
      </x:c>
      <x:c r="G273" t="n">
        <x:v>0</x:v>
      </x:c>
      <x:c r="H273" t="n">
        <x:v>0</x:v>
      </x:c>
      <x:c r="I273" t="n">
        <x:v>0</x:v>
      </x:c>
      <x:c r="J273" s="28" t="n">
        <x:v>72840</x:v>
      </x:c>
      <x:c r="K273" s="28" t="n">
        <x:v>0</x:v>
      </x:c>
      <x:c r="L273" t="n">
        <x:v>1</x:v>
      </x:c>
      <x:c r="M273" t="str">
        <x:v>SINTETICO</x:v>
      </x:c>
    </x:row>
    <x:row r="274">
      <x:c r="A274" t="str">
        <x:v>CASO-0137-as_is</x:v>
      </x:c>
      <x:c r="B274" t="str">
        <x:v>AS-IS</x:v>
      </x:c>
      <x:c r="C274" t="str">
        <x:v>2026-09</x:v>
      </x:c>
      <x:c r="D274" s="26" t="n">
        <x:v>3.379</x:v>
      </x:c>
      <x:c r="E274" s="26" t="n">
        <x:v>41.313</x:v>
      </x:c>
      <x:c r="F274" s="26" t="n">
        <x:v>44.692</x:v>
      </x:c>
      <x:c r="G274" t="n">
        <x:v>0</x:v>
      </x:c>
      <x:c r="H274" t="n">
        <x:v>0</x:v>
      </x:c>
      <x:c r="I274" t="n">
        <x:v>0</x:v>
      </x:c>
      <x:c r="J274" s="28" t="n">
        <x:v>202740</x:v>
      </x:c>
      <x:c r="K274" s="28" t="n">
        <x:v>0</x:v>
      </x:c>
      <x:c r="L274" t="n">
        <x:v>1</x:v>
      </x:c>
      <x:c r="M274" t="str">
        <x:v>SINTETICO</x:v>
      </x:c>
    </x:row>
    <x:row r="275">
      <x:c r="A275" t="str">
        <x:v>CASO-0137-to_be</x:v>
      </x:c>
      <x:c r="B275" t="str">
        <x:v>TO-BE</x:v>
      </x:c>
      <x:c r="C275" t="str">
        <x:v>2026-09</x:v>
      </x:c>
      <x:c r="D275" s="26" t="n">
        <x:v>1.379</x:v>
      </x:c>
      <x:c r="E275" s="26" t="n">
        <x:v>30.325</x:v>
      </x:c>
      <x:c r="F275" s="26" t="n">
        <x:v>31.704</x:v>
      </x:c>
      <x:c r="G275" t="n">
        <x:v>1</x:v>
      </x:c>
      <x:c r="H275" t="n">
        <x:v>1</x:v>
      </x:c>
      <x:c r="I275" t="n">
        <x:v>1</x:v>
      </x:c>
      <x:c r="J275" s="28" t="n">
        <x:v>82740</x:v>
      </x:c>
      <x:c r="K275" s="28" t="n">
        <x:v>70000</x:v>
      </x:c>
      <x:c r="L275" t="n">
        <x:v>1</x:v>
      </x:c>
      <x:c r="M275" t="str">
        <x:v>SINTETICO</x:v>
      </x:c>
    </x:row>
    <x:row r="276">
      <x:c r="A276" t="str">
        <x:v>CASO-0138-as_is</x:v>
      </x:c>
      <x:c r="B276" t="str">
        <x:v>AS-IS</x:v>
      </x:c>
      <x:c r="C276" t="str">
        <x:v>2026-09</x:v>
      </x:c>
      <x:c r="D276" s="26" t="n">
        <x:v>2.326</x:v>
      </x:c>
      <x:c r="E276" s="26" t="n">
        <x:v>29.693</x:v>
      </x:c>
      <x:c r="F276" s="26" t="n">
        <x:v>32.019</x:v>
      </x:c>
      <x:c r="G276" t="n">
        <x:v>0</x:v>
      </x:c>
      <x:c r="H276" t="n">
        <x:v>0</x:v>
      </x:c>
      <x:c r="I276" t="n">
        <x:v>0</x:v>
      </x:c>
      <x:c r="J276" s="28" t="n">
        <x:v>139560</x:v>
      </x:c>
      <x:c r="K276" s="28" t="n">
        <x:v>0</x:v>
      </x:c>
      <x:c r="L276" t="n">
        <x:v>1</x:v>
      </x:c>
      <x:c r="M276" t="str">
        <x:v>SINTETICO</x:v>
      </x:c>
    </x:row>
    <x:row r="277">
      <x:c r="A277" t="str">
        <x:v>CASO-0138-to_be</x:v>
      </x:c>
      <x:c r="B277" t="str">
        <x:v>TO-BE</x:v>
      </x:c>
      <x:c r="C277" t="str">
        <x:v>2026-09</x:v>
      </x:c>
      <x:c r="D277" s="26" t="n">
        <x:v>1.193</x:v>
      </x:c>
      <x:c r="E277" s="26" t="n">
        <x:v>24.214</x:v>
      </x:c>
      <x:c r="F277" s="26" t="n">
        <x:v>25.407</x:v>
      </x:c>
      <x:c r="G277" t="n">
        <x:v>0</x:v>
      </x:c>
      <x:c r="H277" t="n">
        <x:v>0</x:v>
      </x:c>
      <x:c r="I277" t="n">
        <x:v>1</x:v>
      </x:c>
      <x:c r="J277" s="28" t="n">
        <x:v>71580</x:v>
      </x:c>
      <x:c r="K277" s="28" t="n">
        <x:v>0</x:v>
      </x:c>
      <x:c r="L277" t="n">
        <x:v>1</x:v>
      </x:c>
      <x:c r="M277" t="str">
        <x:v>SINTETICO</x:v>
      </x:c>
    </x:row>
    <x:row r="278">
      <x:c r="A278" t="str">
        <x:v>CASO-0139-as_is</x:v>
      </x:c>
      <x:c r="B278" t="str">
        <x:v>AS-IS</x:v>
      </x:c>
      <x:c r="C278" t="str">
        <x:v>2026-09</x:v>
      </x:c>
      <x:c r="D278" s="26" t="n">
        <x:v>2.399</x:v>
      </x:c>
      <x:c r="E278" s="26" t="n">
        <x:v>39.643</x:v>
      </x:c>
      <x:c r="F278" s="26" t="n">
        <x:v>42.042</x:v>
      </x:c>
      <x:c r="G278" t="n">
        <x:v>0</x:v>
      </x:c>
      <x:c r="H278" t="n">
        <x:v>0</x:v>
      </x:c>
      <x:c r="I278" t="n">
        <x:v>0</x:v>
      </x:c>
      <x:c r="J278" s="28" t="n">
        <x:v>143940</x:v>
      </x:c>
      <x:c r="K278" s="28" t="n">
        <x:v>0</x:v>
      </x:c>
      <x:c r="L278" t="n">
        <x:v>0</x:v>
      </x:c>
      <x:c r="M278" t="str">
        <x:v>SINTETICO</x:v>
      </x:c>
    </x:row>
    <x:row r="279">
      <x:c r="A279" t="str">
        <x:v>CASO-0139-to_be</x:v>
      </x:c>
      <x:c r="B279" t="str">
        <x:v>TO-BE</x:v>
      </x:c>
      <x:c r="C279" t="str">
        <x:v>2026-09</x:v>
      </x:c>
      <x:c r="D279" s="26" t="n">
        <x:v>0.908</x:v>
      </x:c>
      <x:c r="E279" s="26" t="n">
        <x:v>20.682</x:v>
      </x:c>
      <x:c r="F279" s="26" t="n">
        <x:v>21.59</x:v>
      </x:c>
      <x:c r="G279" t="n">
        <x:v>0</x:v>
      </x:c>
      <x:c r="H279" t="n">
        <x:v>0</x:v>
      </x:c>
      <x:c r="I279" t="n">
        <x:v>1</x:v>
      </x:c>
      <x:c r="J279" s="28" t="n">
        <x:v>54480</x:v>
      </x:c>
      <x:c r="K279" s="28" t="n">
        <x:v>0</x:v>
      </x:c>
      <x:c r="L279" t="n">
        <x:v>0</x:v>
      </x:c>
      <x:c r="M279" t="str">
        <x:v>SINTETICO</x:v>
      </x:c>
    </x:row>
    <x:row r="280">
      <x:c r="A280" t="str">
        <x:v>CASO-0140-as_is</x:v>
      </x:c>
      <x:c r="B280" t="str">
        <x:v>AS-IS</x:v>
      </x:c>
      <x:c r="C280" t="str">
        <x:v>2026-09</x:v>
      </x:c>
      <x:c r="D280" s="26" t="n">
        <x:v>2.812</x:v>
      </x:c>
      <x:c r="E280" s="26" t="n">
        <x:v>46.698</x:v>
      </x:c>
      <x:c r="F280" s="26" t="n">
        <x:v>49.51</x:v>
      </x:c>
      <x:c r="G280" t="n">
        <x:v>0</x:v>
      </x:c>
      <x:c r="H280" t="n">
        <x:v>0</x:v>
      </x:c>
      <x:c r="I280" t="n">
        <x:v>0</x:v>
      </x:c>
      <x:c r="J280" s="28" t="n">
        <x:v>168720</x:v>
      </x:c>
      <x:c r="K280" s="28" t="n">
        <x:v>0</x:v>
      </x:c>
      <x:c r="L280" t="n">
        <x:v>1</x:v>
      </x:c>
      <x:c r="M280" t="str">
        <x:v>SINTETICO</x:v>
      </x:c>
    </x:row>
    <x:row r="281">
      <x:c r="A281" t="str">
        <x:v>CASO-0140-to_be</x:v>
      </x:c>
      <x:c r="B281" t="str">
        <x:v>TO-BE</x:v>
      </x:c>
      <x:c r="C281" t="str">
        <x:v>2026-09</x:v>
      </x:c>
      <x:c r="D281" s="26" t="n">
        <x:v>1.084</x:v>
      </x:c>
      <x:c r="E281" s="26" t="n">
        <x:v>15.841</x:v>
      </x:c>
      <x:c r="F281" s="26" t="n">
        <x:v>16.925</x:v>
      </x:c>
      <x:c r="G281" t="n">
        <x:v>0</x:v>
      </x:c>
      <x:c r="H281" t="n">
        <x:v>0</x:v>
      </x:c>
      <x:c r="I281" t="n">
        <x:v>1</x:v>
      </x:c>
      <x:c r="J281" s="28" t="n">
        <x:v>65040</x:v>
      </x:c>
      <x:c r="K281" s="28" t="n">
        <x:v>0</x:v>
      </x:c>
      <x:c r="L281" t="n">
        <x:v>1</x:v>
      </x:c>
      <x:c r="M281" t="str">
        <x:v>SINTETICO</x:v>
      </x:c>
    </x:row>
    <x:row r="282">
      <x:c r="A282" t="str">
        <x:v>CASO-0141-as_is</x:v>
      </x:c>
      <x:c r="B282" t="str">
        <x:v>AS-IS</x:v>
      </x:c>
      <x:c r="C282" t="str">
        <x:v>2026-09</x:v>
      </x:c>
      <x:c r="D282" s="26" t="n">
        <x:v>3.978</x:v>
      </x:c>
      <x:c r="E282" s="26" t="n">
        <x:v>41.982</x:v>
      </x:c>
      <x:c r="F282" s="26" t="n">
        <x:v>45.96</x:v>
      </x:c>
      <x:c r="G282" t="n">
        <x:v>1</x:v>
      </x:c>
      <x:c r="H282" t="n">
        <x:v>0</x:v>
      </x:c>
      <x:c r="I282" t="n">
        <x:v>0</x:v>
      </x:c>
      <x:c r="J282" s="28" t="n">
        <x:v>238680</x:v>
      </x:c>
      <x:c r="K282" s="28" t="n">
        <x:v>70000</x:v>
      </x:c>
      <x:c r="L282" t="n">
        <x:v>0</x:v>
      </x:c>
      <x:c r="M282" t="str">
        <x:v>SINTETICO</x:v>
      </x:c>
    </x:row>
    <x:row r="283">
      <x:c r="A283" t="str">
        <x:v>CASO-0141-to_be</x:v>
      </x:c>
      <x:c r="B283" t="str">
        <x:v>TO-BE</x:v>
      </x:c>
      <x:c r="C283" t="str">
        <x:v>2026-09</x:v>
      </x:c>
      <x:c r="D283" s="26" t="n">
        <x:v>1.27</x:v>
      </x:c>
      <x:c r="E283" s="26" t="n">
        <x:v>31.959</x:v>
      </x:c>
      <x:c r="F283" s="26" t="n">
        <x:v>33.229</x:v>
      </x:c>
      <x:c r="G283" t="n">
        <x:v>0</x:v>
      </x:c>
      <x:c r="H283" t="n">
        <x:v>0</x:v>
      </x:c>
      <x:c r="I283" t="n">
        <x:v>1</x:v>
      </x:c>
      <x:c r="J283" s="28" t="n">
        <x:v>76200</x:v>
      </x:c>
      <x:c r="K283" s="28" t="n">
        <x:v>0</x:v>
      </x:c>
      <x:c r="L283" t="n">
        <x:v>0</x:v>
      </x:c>
      <x:c r="M283" t="str">
        <x:v>SINTETICO</x:v>
      </x:c>
    </x:row>
    <x:row r="284">
      <x:c r="A284" t="str">
        <x:v>CASO-0142-as_is</x:v>
      </x:c>
      <x:c r="B284" t="str">
        <x:v>AS-IS</x:v>
      </x:c>
      <x:c r="C284" t="str">
        <x:v>2026-09</x:v>
      </x:c>
      <x:c r="D284" s="26" t="n">
        <x:v>2.298</x:v>
      </x:c>
      <x:c r="E284" s="26" t="n">
        <x:v>39.714</x:v>
      </x:c>
      <x:c r="F284" s="26" t="n">
        <x:v>42.012</x:v>
      </x:c>
      <x:c r="G284" t="n">
        <x:v>0</x:v>
      </x:c>
      <x:c r="H284" t="n">
        <x:v>0</x:v>
      </x:c>
      <x:c r="I284" t="n">
        <x:v>0</x:v>
      </x:c>
      <x:c r="J284" s="28" t="n">
        <x:v>137880</x:v>
      </x:c>
      <x:c r="K284" s="28" t="n">
        <x:v>0</x:v>
      </x:c>
      <x:c r="L284" t="n">
        <x:v>0</x:v>
      </x:c>
      <x:c r="M284" t="str">
        <x:v>SINTETICO</x:v>
      </x:c>
    </x:row>
    <x:row r="285">
      <x:c r="A285" t="str">
        <x:v>CASO-0142-to_be</x:v>
      </x:c>
      <x:c r="B285" t="str">
        <x:v>TO-BE</x:v>
      </x:c>
      <x:c r="C285" t="str">
        <x:v>2026-09</x:v>
      </x:c>
      <x:c r="D285" s="26" t="n">
        <x:v>1.048</x:v>
      </x:c>
      <x:c r="E285" s="26" t="n">
        <x:v>13.179</x:v>
      </x:c>
      <x:c r="F285" s="26" t="n">
        <x:v>14.227</x:v>
      </x:c>
      <x:c r="G285" t="n">
        <x:v>0</x:v>
      </x:c>
      <x:c r="H285" t="n">
        <x:v>0</x:v>
      </x:c>
      <x:c r="I285" t="n">
        <x:v>1</x:v>
      </x:c>
      <x:c r="J285" s="28" t="n">
        <x:v>62880</x:v>
      </x:c>
      <x:c r="K285" s="28" t="n">
        <x:v>0</x:v>
      </x:c>
      <x:c r="L285" t="n">
        <x:v>0</x:v>
      </x:c>
      <x:c r="M285" t="str">
        <x:v>SINTETICO</x:v>
      </x:c>
    </x:row>
    <x:row r="286">
      <x:c r="A286" t="str">
        <x:v>CASO-0143-as_is</x:v>
      </x:c>
      <x:c r="B286" t="str">
        <x:v>AS-IS</x:v>
      </x:c>
      <x:c r="C286" t="str">
        <x:v>2026-09</x:v>
      </x:c>
      <x:c r="D286" s="26" t="n">
        <x:v>3.572</x:v>
      </x:c>
      <x:c r="E286" s="26" t="n">
        <x:v>63.102</x:v>
      </x:c>
      <x:c r="F286" s="26" t="n">
        <x:v>66.674</x:v>
      </x:c>
      <x:c r="G286" t="n">
        <x:v>1</x:v>
      </x:c>
      <x:c r="H286" t="n">
        <x:v>0</x:v>
      </x:c>
      <x:c r="I286" t="n">
        <x:v>0</x:v>
      </x:c>
      <x:c r="J286" s="28" t="n">
        <x:v>214320</x:v>
      </x:c>
      <x:c r="K286" s="28" t="n">
        <x:v>70000</x:v>
      </x:c>
      <x:c r="L286" t="n">
        <x:v>1</x:v>
      </x:c>
      <x:c r="M286" t="str">
        <x:v>SINTETICO</x:v>
      </x:c>
    </x:row>
    <x:row r="287">
      <x:c r="A287" t="str">
        <x:v>CASO-0143-to_be</x:v>
      </x:c>
      <x:c r="B287" t="str">
        <x:v>TO-BE</x:v>
      </x:c>
      <x:c r="C287" t="str">
        <x:v>2026-09</x:v>
      </x:c>
      <x:c r="D287" s="26" t="n">
        <x:v>1.21</x:v>
      </x:c>
      <x:c r="E287" s="26" t="n">
        <x:v>28.809</x:v>
      </x:c>
      <x:c r="F287" s="26" t="n">
        <x:v>30.019</x:v>
      </x:c>
      <x:c r="G287" t="n">
        <x:v>0</x:v>
      </x:c>
      <x:c r="H287" t="n">
        <x:v>0</x:v>
      </x:c>
      <x:c r="I287" t="n">
        <x:v>1</x:v>
      </x:c>
      <x:c r="J287" s="28" t="n">
        <x:v>72600</x:v>
      </x:c>
      <x:c r="K287" s="28" t="n">
        <x:v>0</x:v>
      </x:c>
      <x:c r="L287" t="n">
        <x:v>1</x:v>
      </x:c>
      <x:c r="M287" t="str">
        <x:v>SINTETICO</x:v>
      </x:c>
    </x:row>
    <x:row r="288">
      <x:c r="A288" t="str">
        <x:v>CASO-0144-as_is</x:v>
      </x:c>
      <x:c r="B288" t="str">
        <x:v>AS-IS</x:v>
      </x:c>
      <x:c r="C288" t="str">
        <x:v>2026-09</x:v>
      </x:c>
      <x:c r="D288" s="26" t="n">
        <x:v>3.034</x:v>
      </x:c>
      <x:c r="E288" s="26" t="n">
        <x:v>41.836</x:v>
      </x:c>
      <x:c r="F288" s="26" t="n">
        <x:v>44.87</x:v>
      </x:c>
      <x:c r="G288" t="n">
        <x:v>0</x:v>
      </x:c>
      <x:c r="H288" t="n">
        <x:v>0</x:v>
      </x:c>
      <x:c r="I288" t="n">
        <x:v>0</x:v>
      </x:c>
      <x:c r="J288" s="28" t="n">
        <x:v>182040</x:v>
      </x:c>
      <x:c r="K288" s="28" t="n">
        <x:v>0</x:v>
      </x:c>
      <x:c r="L288" t="n">
        <x:v>0</x:v>
      </x:c>
      <x:c r="M288" t="str">
        <x:v>SINTETICO</x:v>
      </x:c>
    </x:row>
    <x:row r="289">
      <x:c r="A289" t="str">
        <x:v>CASO-0144-to_be</x:v>
      </x:c>
      <x:c r="B289" t="str">
        <x:v>TO-BE</x:v>
      </x:c>
      <x:c r="C289" t="str">
        <x:v>2026-09</x:v>
      </x:c>
      <x:c r="D289" s="26" t="n">
        <x:v>1.222</x:v>
      </x:c>
      <x:c r="E289" s="26" t="n">
        <x:v>19.608</x:v>
      </x:c>
      <x:c r="F289" s="26" t="n">
        <x:v>20.83</x:v>
      </x:c>
      <x:c r="G289" t="n">
        <x:v>0</x:v>
      </x:c>
      <x:c r="H289" t="n">
        <x:v>0</x:v>
      </x:c>
      <x:c r="I289" t="n">
        <x:v>0</x:v>
      </x:c>
      <x:c r="J289" s="28" t="n">
        <x:v>73320</x:v>
      </x:c>
      <x:c r="K289" s="28" t="n">
        <x:v>0</x:v>
      </x:c>
      <x:c r="L289" t="n">
        <x:v>0</x:v>
      </x:c>
      <x:c r="M289" t="str">
        <x:v>SINTETICO</x:v>
      </x:c>
    </x:row>
    <x:row r="290">
      <x:c r="A290" t="str">
        <x:v>CASO-0145-as_is</x:v>
      </x:c>
      <x:c r="B290" t="str">
        <x:v>AS-IS</x:v>
      </x:c>
      <x:c r="C290" t="str">
        <x:v>2026-09</x:v>
      </x:c>
      <x:c r="D290" s="26" t="n">
        <x:v>2.675</x:v>
      </x:c>
      <x:c r="E290" s="26" t="n">
        <x:v>30.403</x:v>
      </x:c>
      <x:c r="F290" s="26" t="n">
        <x:v>33.078</x:v>
      </x:c>
      <x:c r="G290" t="n">
        <x:v>0</x:v>
      </x:c>
      <x:c r="H290" t="n">
        <x:v>0</x:v>
      </x:c>
      <x:c r="I290" t="n">
        <x:v>0</x:v>
      </x:c>
      <x:c r="J290" s="28" t="n">
        <x:v>160500</x:v>
      </x:c>
      <x:c r="K290" s="28" t="n">
        <x:v>0</x:v>
      </x:c>
      <x:c r="L290" t="n">
        <x:v>0</x:v>
      </x:c>
      <x:c r="M290" t="str">
        <x:v>SINTETICO</x:v>
      </x:c>
    </x:row>
    <x:row r="291">
      <x:c r="A291" t="str">
        <x:v>CASO-0145-to_be</x:v>
      </x:c>
      <x:c r="B291" t="str">
        <x:v>TO-BE</x:v>
      </x:c>
      <x:c r="C291" t="str">
        <x:v>2026-09</x:v>
      </x:c>
      <x:c r="D291" s="26" t="n">
        <x:v>1.07</x:v>
      </x:c>
      <x:c r="E291" s="26" t="n">
        <x:v>25.796</x:v>
      </x:c>
      <x:c r="F291" s="26" t="n">
        <x:v>26.866</x:v>
      </x:c>
      <x:c r="G291" t="n">
        <x:v>0</x:v>
      </x:c>
      <x:c r="H291" t="n">
        <x:v>0</x:v>
      </x:c>
      <x:c r="I291" t="n">
        <x:v>0</x:v>
      </x:c>
      <x:c r="J291" s="28" t="n">
        <x:v>64200</x:v>
      </x:c>
      <x:c r="K291" s="28" t="n">
        <x:v>0</x:v>
      </x:c>
      <x:c r="L291" t="n">
        <x:v>0</x:v>
      </x:c>
      <x:c r="M291" t="str">
        <x:v>SINTETICO</x:v>
      </x:c>
    </x:row>
    <x:row r="292">
      <x:c r="A292" t="str">
        <x:v>CASO-0146-as_is</x:v>
      </x:c>
      <x:c r="B292" t="str">
        <x:v>AS-IS</x:v>
      </x:c>
      <x:c r="C292" t="str">
        <x:v>2026-09</x:v>
      </x:c>
      <x:c r="D292" s="26" t="n">
        <x:v>2.472</x:v>
      </x:c>
      <x:c r="E292" s="26" t="n">
        <x:v>41.635</x:v>
      </x:c>
      <x:c r="F292" s="26" t="n">
        <x:v>44.107</x:v>
      </x:c>
      <x:c r="G292" t="n">
        <x:v>0</x:v>
      </x:c>
      <x:c r="H292" t="n">
        <x:v>0</x:v>
      </x:c>
      <x:c r="I292" t="n">
        <x:v>0</x:v>
      </x:c>
      <x:c r="J292" s="28" t="n">
        <x:v>148320</x:v>
      </x:c>
      <x:c r="K292" s="28" t="n">
        <x:v>0</x:v>
      </x:c>
      <x:c r="L292" t="n">
        <x:v>0</x:v>
      </x:c>
      <x:c r="M292" t="str">
        <x:v>SINTETICO</x:v>
      </x:c>
    </x:row>
    <x:row r="293">
      <x:c r="A293" t="str">
        <x:v>CASO-0146-to_be</x:v>
      </x:c>
      <x:c r="B293" t="str">
        <x:v>TO-BE</x:v>
      </x:c>
      <x:c r="C293" t="str">
        <x:v>2026-09</x:v>
      </x:c>
      <x:c r="D293" s="26" t="n">
        <x:v>1.031</x:v>
      </x:c>
      <x:c r="E293" s="26" t="n">
        <x:v>16.181</x:v>
      </x:c>
      <x:c r="F293" s="26" t="n">
        <x:v>17.212</x:v>
      </x:c>
      <x:c r="G293" t="n">
        <x:v>0</x:v>
      </x:c>
      <x:c r="H293" t="n">
        <x:v>0</x:v>
      </x:c>
      <x:c r="I293" t="n">
        <x:v>0</x:v>
      </x:c>
      <x:c r="J293" s="28" t="n">
        <x:v>61860</x:v>
      </x:c>
      <x:c r="K293" s="28" t="n">
        <x:v>0</x:v>
      </x:c>
      <x:c r="L293" t="n">
        <x:v>0</x:v>
      </x:c>
      <x:c r="M293" t="str">
        <x:v>SINTETICO</x:v>
      </x:c>
    </x:row>
    <x:row r="294">
      <x:c r="A294" t="str">
        <x:v>CASO-0147-as_is</x:v>
      </x:c>
      <x:c r="B294" t="str">
        <x:v>AS-IS</x:v>
      </x:c>
      <x:c r="C294" t="str">
        <x:v>2026-09</x:v>
      </x:c>
      <x:c r="D294" s="26" t="n">
        <x:v>2.365</x:v>
      </x:c>
      <x:c r="E294" s="26" t="n">
        <x:v>49.625</x:v>
      </x:c>
      <x:c r="F294" s="26" t="n">
        <x:v>51.99</x:v>
      </x:c>
      <x:c r="G294" t="n">
        <x:v>1</x:v>
      </x:c>
      <x:c r="H294" t="n">
        <x:v>0</x:v>
      </x:c>
      <x:c r="I294" t="n">
        <x:v>0</x:v>
      </x:c>
      <x:c r="J294" s="28" t="n">
        <x:v>141900</x:v>
      </x:c>
      <x:c r="K294" s="28" t="n">
        <x:v>70000</x:v>
      </x:c>
      <x:c r="L294" t="n">
        <x:v>0</x:v>
      </x:c>
      <x:c r="M294" t="str">
        <x:v>SINTETICO</x:v>
      </x:c>
    </x:row>
    <x:row r="295">
      <x:c r="A295" t="str">
        <x:v>CASO-0147-to_be</x:v>
      </x:c>
      <x:c r="B295" t="str">
        <x:v>TO-BE</x:v>
      </x:c>
      <x:c r="C295" t="str">
        <x:v>2026-09</x:v>
      </x:c>
      <x:c r="D295" s="26" t="n">
        <x:v>1.12</x:v>
      </x:c>
      <x:c r="E295" s="26" t="n">
        <x:v>17.465</x:v>
      </x:c>
      <x:c r="F295" s="26" t="n">
        <x:v>18.585</x:v>
      </x:c>
      <x:c r="G295" t="n">
        <x:v>0</x:v>
      </x:c>
      <x:c r="H295" t="n">
        <x:v>0</x:v>
      </x:c>
      <x:c r="I295" t="n">
        <x:v>1</x:v>
      </x:c>
      <x:c r="J295" s="28" t="n">
        <x:v>67200</x:v>
      </x:c>
      <x:c r="K295" s="28" t="n">
        <x:v>0</x:v>
      </x:c>
      <x:c r="L295" t="n">
        <x:v>0</x:v>
      </x:c>
      <x:c r="M295" t="str">
        <x:v>SINTETICO</x:v>
      </x:c>
    </x:row>
    <x:row r="296">
      <x:c r="A296" t="str">
        <x:v>CASO-0148-as_is</x:v>
      </x:c>
      <x:c r="B296" t="str">
        <x:v>AS-IS</x:v>
      </x:c>
      <x:c r="C296" t="str">
        <x:v>2026-09</x:v>
      </x:c>
      <x:c r="D296" s="26" t="n">
        <x:v>2.559</x:v>
      </x:c>
      <x:c r="E296" s="26" t="n">
        <x:v>39.14</x:v>
      </x:c>
      <x:c r="F296" s="26" t="n">
        <x:v>41.699</x:v>
      </x:c>
      <x:c r="G296" t="n">
        <x:v>0</x:v>
      </x:c>
      <x:c r="H296" t="n">
        <x:v>0</x:v>
      </x:c>
      <x:c r="I296" t="n">
        <x:v>0</x:v>
      </x:c>
      <x:c r="J296" s="28" t="n">
        <x:v>153540</x:v>
      </x:c>
      <x:c r="K296" s="28" t="n">
        <x:v>0</x:v>
      </x:c>
      <x:c r="L296" t="n">
        <x:v>1</x:v>
      </x:c>
      <x:c r="M296" t="str">
        <x:v>SINTETICO</x:v>
      </x:c>
    </x:row>
    <x:row r="297">
      <x:c r="A297" t="str">
        <x:v>CASO-0148-to_be</x:v>
      </x:c>
      <x:c r="B297" t="str">
        <x:v>TO-BE</x:v>
      </x:c>
      <x:c r="C297" t="str">
        <x:v>2026-09</x:v>
      </x:c>
      <x:c r="D297" s="26" t="n">
        <x:v>1.019</x:v>
      </x:c>
      <x:c r="E297" s="26" t="n">
        <x:v>18.639</x:v>
      </x:c>
      <x:c r="F297" s="26" t="n">
        <x:v>19.658</x:v>
      </x:c>
      <x:c r="G297" t="n">
        <x:v>0</x:v>
      </x:c>
      <x:c r="H297" t="n">
        <x:v>0</x:v>
      </x:c>
      <x:c r="I297" t="n">
        <x:v>0</x:v>
      </x:c>
      <x:c r="J297" s="28" t="n">
        <x:v>61140</x:v>
      </x:c>
      <x:c r="K297" s="28" t="n">
        <x:v>0</x:v>
      </x:c>
      <x:c r="L297" t="n">
        <x:v>1</x:v>
      </x:c>
      <x:c r="M297" t="str">
        <x:v>SINTETICO</x:v>
      </x:c>
    </x:row>
    <x:row r="298">
      <x:c r="A298" t="str">
        <x:v>CASO-0149-as_is</x:v>
      </x:c>
      <x:c r="B298" t="str">
        <x:v>AS-IS</x:v>
      </x:c>
      <x:c r="C298" t="str">
        <x:v>2026-09</x:v>
      </x:c>
      <x:c r="D298" s="26" t="n">
        <x:v>2.766</x:v>
      </x:c>
      <x:c r="E298" s="26" t="n">
        <x:v>29.202</x:v>
      </x:c>
      <x:c r="F298" s="26" t="n">
        <x:v>31.968</x:v>
      </x:c>
      <x:c r="G298" t="n">
        <x:v>0</x:v>
      </x:c>
      <x:c r="H298" t="n">
        <x:v>0</x:v>
      </x:c>
      <x:c r="I298" t="n">
        <x:v>0</x:v>
      </x:c>
      <x:c r="J298" s="28" t="n">
        <x:v>165960</x:v>
      </x:c>
      <x:c r="K298" s="28" t="n">
        <x:v>0</x:v>
      </x:c>
      <x:c r="L298" t="n">
        <x:v>0</x:v>
      </x:c>
      <x:c r="M298" t="str">
        <x:v>SINTETICO</x:v>
      </x:c>
    </x:row>
    <x:row r="299">
      <x:c r="A299" t="str">
        <x:v>CASO-0149-to_be</x:v>
      </x:c>
      <x:c r="B299" t="str">
        <x:v>TO-BE</x:v>
      </x:c>
      <x:c r="C299" t="str">
        <x:v>2026-09</x:v>
      </x:c>
      <x:c r="D299" s="26" t="n">
        <x:v>1.004</x:v>
      </x:c>
      <x:c r="E299" s="26" t="n">
        <x:v>22.955</x:v>
      </x:c>
      <x:c r="F299" s="26" t="n">
        <x:v>23.959</x:v>
      </x:c>
      <x:c r="G299" t="n">
        <x:v>0</x:v>
      </x:c>
      <x:c r="H299" t="n">
        <x:v>0</x:v>
      </x:c>
      <x:c r="I299" t="n">
        <x:v>1</x:v>
      </x:c>
      <x:c r="J299" s="28" t="n">
        <x:v>60240</x:v>
      </x:c>
      <x:c r="K299" s="28" t="n">
        <x:v>0</x:v>
      </x:c>
      <x:c r="L299" t="n">
        <x:v>0</x:v>
      </x:c>
      <x:c r="M299" t="str">
        <x:v>SINTETICO</x:v>
      </x:c>
    </x:row>
    <x:row r="300">
      <x:c r="A300" t="str">
        <x:v>CASO-0150-as_is</x:v>
      </x:c>
      <x:c r="B300" t="str">
        <x:v>AS-IS</x:v>
      </x:c>
      <x:c r="C300" t="str">
        <x:v>2026-09</x:v>
      </x:c>
      <x:c r="D300" s="26" t="n">
        <x:v>2.599</x:v>
      </x:c>
      <x:c r="E300" s="26" t="n">
        <x:v>36.348</x:v>
      </x:c>
      <x:c r="F300" s="26" t="n">
        <x:v>38.947</x:v>
      </x:c>
      <x:c r="G300" t="n">
        <x:v>1</x:v>
      </x:c>
      <x:c r="H300" t="n">
        <x:v>0</x:v>
      </x:c>
      <x:c r="I300" t="n">
        <x:v>0</x:v>
      </x:c>
      <x:c r="J300" s="28" t="n">
        <x:v>155940</x:v>
      </x:c>
      <x:c r="K300" s="28" t="n">
        <x:v>70000</x:v>
      </x:c>
      <x:c r="L300" t="n">
        <x:v>1</x:v>
      </x:c>
      <x:c r="M300" t="str">
        <x:v>SINTETICO</x:v>
      </x:c>
    </x:row>
    <x:row r="301">
      <x:c r="A301" t="str">
        <x:v>CASO-0150-to_be</x:v>
      </x:c>
      <x:c r="B301" t="str">
        <x:v>TO-BE</x:v>
      </x:c>
      <x:c r="C301" t="str">
        <x:v>2026-09</x:v>
      </x:c>
      <x:c r="D301" s="26" t="n">
        <x:v>0.843</x:v>
      </x:c>
      <x:c r="E301" s="26" t="n">
        <x:v>18.686</x:v>
      </x:c>
      <x:c r="F301" s="26" t="n">
        <x:v>19.529</x:v>
      </x:c>
      <x:c r="G301" t="n">
        <x:v>0</x:v>
      </x:c>
      <x:c r="H301" t="n">
        <x:v>0</x:v>
      </x:c>
      <x:c r="I301" t="n">
        <x:v>1</x:v>
      </x:c>
      <x:c r="J301" s="28" t="n">
        <x:v>50580</x:v>
      </x:c>
      <x:c r="K301" s="28" t="n">
        <x:v>0</x:v>
      </x:c>
      <x:c r="L301" t="n">
        <x:v>1</x:v>
      </x:c>
      <x:c r="M301" t="str">
        <x:v>SINTETICO</x:v>
      </x:c>
    </x:row>
    <x:row r="302">
      <x:c r="A302" t="str">
        <x:v>CASO-0151-as_is</x:v>
      </x:c>
      <x:c r="B302" t="str">
        <x:v>AS-IS</x:v>
      </x:c>
      <x:c r="C302" t="str">
        <x:v>2026-09</x:v>
      </x:c>
      <x:c r="D302" s="26" t="n">
        <x:v>3.352</x:v>
      </x:c>
      <x:c r="E302" s="26" t="n">
        <x:v>57.998</x:v>
      </x:c>
      <x:c r="F302" s="26" t="n">
        <x:v>61.35</x:v>
      </x:c>
      <x:c r="G302" t="n">
        <x:v>0</x:v>
      </x:c>
      <x:c r="H302" t="n">
        <x:v>1</x:v>
      </x:c>
      <x:c r="I302" t="n">
        <x:v>0</x:v>
      </x:c>
      <x:c r="J302" s="28" t="n">
        <x:v>201120</x:v>
      </x:c>
      <x:c r="K302" s="28" t="n">
        <x:v>0</x:v>
      </x:c>
      <x:c r="L302" t="n">
        <x:v>0</x:v>
      </x:c>
      <x:c r="M302" t="str">
        <x:v>SINTETICO</x:v>
      </x:c>
    </x:row>
    <x:row r="303">
      <x:c r="A303" t="str">
        <x:v>CASO-0151-to_be</x:v>
      </x:c>
      <x:c r="B303" t="str">
        <x:v>TO-BE</x:v>
      </x:c>
      <x:c r="C303" t="str">
        <x:v>2026-09</x:v>
      </x:c>
      <x:c r="D303" s="26" t="n">
        <x:v>1.277</x:v>
      </x:c>
      <x:c r="E303" s="26" t="n">
        <x:v>20.901</x:v>
      </x:c>
      <x:c r="F303" s="26" t="n">
        <x:v>22.178</x:v>
      </x:c>
      <x:c r="G303" t="n">
        <x:v>0</x:v>
      </x:c>
      <x:c r="H303" t="n">
        <x:v>0</x:v>
      </x:c>
      <x:c r="I303" t="n">
        <x:v>1</x:v>
      </x:c>
      <x:c r="J303" s="28" t="n">
        <x:v>76620</x:v>
      </x:c>
      <x:c r="K303" s="28" t="n">
        <x:v>0</x:v>
      </x:c>
      <x:c r="L303" t="n">
        <x:v>0</x:v>
      </x:c>
      <x:c r="M303" t="str">
        <x:v>SINTETICO</x:v>
      </x:c>
    </x:row>
    <x:row r="304">
      <x:c r="A304" t="str">
        <x:v>CASO-0152-as_is</x:v>
      </x:c>
      <x:c r="B304" t="str">
        <x:v>AS-IS</x:v>
      </x:c>
      <x:c r="C304" t="str">
        <x:v>2026-09</x:v>
      </x:c>
      <x:c r="D304" s="26" t="n">
        <x:v>2.635</x:v>
      </x:c>
      <x:c r="E304" s="26" t="n">
        <x:v>45.222</x:v>
      </x:c>
      <x:c r="F304" s="26" t="n">
        <x:v>47.857</x:v>
      </x:c>
      <x:c r="G304" t="n">
        <x:v>0</x:v>
      </x:c>
      <x:c r="H304" t="n">
        <x:v>0</x:v>
      </x:c>
      <x:c r="I304" t="n">
        <x:v>0</x:v>
      </x:c>
      <x:c r="J304" s="28" t="n">
        <x:v>158100</x:v>
      </x:c>
      <x:c r="K304" s="28" t="n">
        <x:v>0</x:v>
      </x:c>
      <x:c r="L304" t="n">
        <x:v>1</x:v>
      </x:c>
      <x:c r="M304" t="str">
        <x:v>SINTETICO</x:v>
      </x:c>
    </x:row>
    <x:row r="305">
      <x:c r="A305" t="str">
        <x:v>CASO-0152-to_be</x:v>
      </x:c>
      <x:c r="B305" t="str">
        <x:v>TO-BE</x:v>
      </x:c>
      <x:c r="C305" t="str">
        <x:v>2026-09</x:v>
      </x:c>
      <x:c r="D305" s="26" t="n">
        <x:v>0.964</x:v>
      </x:c>
      <x:c r="E305" s="26" t="n">
        <x:v>15.326</x:v>
      </x:c>
      <x:c r="F305" s="26" t="n">
        <x:v>16.29</x:v>
      </x:c>
      <x:c r="G305" t="n">
        <x:v>0</x:v>
      </x:c>
      <x:c r="H305" t="n">
        <x:v>0</x:v>
      </x:c>
      <x:c r="I305" t="n">
        <x:v>1</x:v>
      </x:c>
      <x:c r="J305" s="28" t="n">
        <x:v>57840</x:v>
      </x:c>
      <x:c r="K305" s="28" t="n">
        <x:v>0</x:v>
      </x:c>
      <x:c r="L305" t="n">
        <x:v>1</x:v>
      </x:c>
      <x:c r="M305" t="str">
        <x:v>SINTETICO</x:v>
      </x:c>
    </x:row>
    <x:row r="306">
      <x:c r="A306" t="str">
        <x:v>CASO-0153-as_is</x:v>
      </x:c>
      <x:c r="B306" t="str">
        <x:v>AS-IS</x:v>
      </x:c>
      <x:c r="C306" t="str">
        <x:v>2026-09</x:v>
      </x:c>
      <x:c r="D306" s="26" t="n">
        <x:v>2.256</x:v>
      </x:c>
      <x:c r="E306" s="26" t="n">
        <x:v>27.089</x:v>
      </x:c>
      <x:c r="F306" s="26" t="n">
        <x:v>29.345</x:v>
      </x:c>
      <x:c r="G306" t="n">
        <x:v>0</x:v>
      </x:c>
      <x:c r="H306" t="n">
        <x:v>0</x:v>
      </x:c>
      <x:c r="I306" t="n">
        <x:v>0</x:v>
      </x:c>
      <x:c r="J306" s="28" t="n">
        <x:v>135360</x:v>
      </x:c>
      <x:c r="K306" s="28" t="n">
        <x:v>0</x:v>
      </x:c>
      <x:c r="L306" t="n">
        <x:v>0</x:v>
      </x:c>
      <x:c r="M306" t="str">
        <x:v>SINTETICO</x:v>
      </x:c>
    </x:row>
    <x:row r="307">
      <x:c r="A307" t="str">
        <x:v>CASO-0153-to_be</x:v>
      </x:c>
      <x:c r="B307" t="str">
        <x:v>TO-BE</x:v>
      </x:c>
      <x:c r="C307" t="str">
        <x:v>2026-09</x:v>
      </x:c>
      <x:c r="D307" s="26" t="n">
        <x:v>0.917</x:v>
      </x:c>
      <x:c r="E307" s="26" t="n">
        <x:v>19.245</x:v>
      </x:c>
      <x:c r="F307" s="26" t="n">
        <x:v>20.162</x:v>
      </x:c>
      <x:c r="G307" t="n">
        <x:v>0</x:v>
      </x:c>
      <x:c r="H307" t="n">
        <x:v>0</x:v>
      </x:c>
      <x:c r="I307" t="n">
        <x:v>1</x:v>
      </x:c>
      <x:c r="J307" s="28" t="n">
        <x:v>55020</x:v>
      </x:c>
      <x:c r="K307" s="28" t="n">
        <x:v>0</x:v>
      </x:c>
      <x:c r="L307" t="n">
        <x:v>0</x:v>
      </x:c>
      <x:c r="M307" t="str">
        <x:v>SINTETICO</x:v>
      </x:c>
    </x:row>
    <x:row r="308">
      <x:c r="A308" t="str">
        <x:v>CASO-0154-as_is</x:v>
      </x:c>
      <x:c r="B308" t="str">
        <x:v>AS-IS</x:v>
      </x:c>
      <x:c r="C308" t="str">
        <x:v>2026-09</x:v>
      </x:c>
      <x:c r="D308" s="26" t="n">
        <x:v>3.101</x:v>
      </x:c>
      <x:c r="E308" s="26" t="n">
        <x:v>40.59</x:v>
      </x:c>
      <x:c r="F308" s="26" t="n">
        <x:v>43.691</x:v>
      </x:c>
      <x:c r="G308" t="n">
        <x:v>0</x:v>
      </x:c>
      <x:c r="H308" t="n">
        <x:v>0</x:v>
      </x:c>
      <x:c r="I308" t="n">
        <x:v>0</x:v>
      </x:c>
      <x:c r="J308" s="28" t="n">
        <x:v>186060</x:v>
      </x:c>
      <x:c r="K308" s="28" t="n">
        <x:v>0</x:v>
      </x:c>
      <x:c r="L308" t="n">
        <x:v>1</x:v>
      </x:c>
      <x:c r="M308" t="str">
        <x:v>SINTETICO</x:v>
      </x:c>
    </x:row>
    <x:row r="309">
      <x:c r="A309" t="str">
        <x:v>CASO-0154-to_be</x:v>
      </x:c>
      <x:c r="B309" t="str">
        <x:v>TO-BE</x:v>
      </x:c>
      <x:c r="C309" t="str">
        <x:v>2026-09</x:v>
      </x:c>
      <x:c r="D309" s="26" t="n">
        <x:v>1.195</x:v>
      </x:c>
      <x:c r="E309" s="26" t="n">
        <x:v>21.555</x:v>
      </x:c>
      <x:c r="F309" s="26" t="n">
        <x:v>22.75</x:v>
      </x:c>
      <x:c r="G309" t="n">
        <x:v>0</x:v>
      </x:c>
      <x:c r="H309" t="n">
        <x:v>0</x:v>
      </x:c>
      <x:c r="I309" t="n">
        <x:v>1</x:v>
      </x:c>
      <x:c r="J309" s="28" t="n">
        <x:v>71700</x:v>
      </x:c>
      <x:c r="K309" s="28" t="n">
        <x:v>0</x:v>
      </x:c>
      <x:c r="L309" t="n">
        <x:v>1</x:v>
      </x:c>
      <x:c r="M309" t="str">
        <x:v>SINTETICO</x:v>
      </x:c>
    </x:row>
    <x:row r="310">
      <x:c r="A310" t="str">
        <x:v>CASO-0155-as_is</x:v>
      </x:c>
      <x:c r="B310" t="str">
        <x:v>AS-IS</x:v>
      </x:c>
      <x:c r="C310" t="str">
        <x:v>2026-09</x:v>
      </x:c>
      <x:c r="D310" s="26" t="n">
        <x:v>3.412</x:v>
      </x:c>
      <x:c r="E310" s="26" t="n">
        <x:v>38.631</x:v>
      </x:c>
      <x:c r="F310" s="26" t="n">
        <x:v>42.043</x:v>
      </x:c>
      <x:c r="G310" t="n">
        <x:v>0</x:v>
      </x:c>
      <x:c r="H310" t="n">
        <x:v>0</x:v>
      </x:c>
      <x:c r="I310" t="n">
        <x:v>1</x:v>
      </x:c>
      <x:c r="J310" s="28" t="n">
        <x:v>204720</x:v>
      </x:c>
      <x:c r="K310" s="28" t="n">
        <x:v>0</x:v>
      </x:c>
      <x:c r="L310" t="n">
        <x:v>1</x:v>
      </x:c>
      <x:c r="M310" t="str">
        <x:v>SINTETICO</x:v>
      </x:c>
    </x:row>
    <x:row r="311">
      <x:c r="A311" t="str">
        <x:v>CASO-0155-to_be</x:v>
      </x:c>
      <x:c r="B311" t="str">
        <x:v>TO-BE</x:v>
      </x:c>
      <x:c r="C311" t="str">
        <x:v>2026-09</x:v>
      </x:c>
      <x:c r="D311" s="26" t="n">
        <x:v>1.245</x:v>
      </x:c>
      <x:c r="E311" s="26" t="n">
        <x:v>18.853</x:v>
      </x:c>
      <x:c r="F311" s="26" t="n">
        <x:v>20.098</x:v>
      </x:c>
      <x:c r="G311" t="n">
        <x:v>0</x:v>
      </x:c>
      <x:c r="H311" t="n">
        <x:v>0</x:v>
      </x:c>
      <x:c r="I311" t="n">
        <x:v>0</x:v>
      </x:c>
      <x:c r="J311" s="28" t="n">
        <x:v>74700</x:v>
      </x:c>
      <x:c r="K311" s="28" t="n">
        <x:v>0</x:v>
      </x:c>
      <x:c r="L311" t="n">
        <x:v>1</x:v>
      </x:c>
      <x:c r="M311" t="str">
        <x:v>SINTETICO</x:v>
      </x:c>
    </x:row>
    <x:row r="312">
      <x:c r="A312" t="str">
        <x:v>CASO-0156-as_is</x:v>
      </x:c>
      <x:c r="B312" t="str">
        <x:v>AS-IS</x:v>
      </x:c>
      <x:c r="C312" t="str">
        <x:v>2026-09</x:v>
      </x:c>
      <x:c r="D312" s="26" t="n">
        <x:v>2.298</x:v>
      </x:c>
      <x:c r="E312" s="26" t="n">
        <x:v>32.525</x:v>
      </x:c>
      <x:c r="F312" s="26" t="n">
        <x:v>34.823</x:v>
      </x:c>
      <x:c r="G312" t="n">
        <x:v>1</x:v>
      </x:c>
      <x:c r="H312" t="n">
        <x:v>0</x:v>
      </x:c>
      <x:c r="I312" t="n">
        <x:v>0</x:v>
      </x:c>
      <x:c r="J312" s="28" t="n">
        <x:v>137880</x:v>
      </x:c>
      <x:c r="K312" s="28" t="n">
        <x:v>70000</x:v>
      </x:c>
      <x:c r="L312" t="n">
        <x:v>1</x:v>
      </x:c>
      <x:c r="M312" t="str">
        <x:v>SINTETICO</x:v>
      </x:c>
    </x:row>
    <x:row r="313">
      <x:c r="A313" t="str">
        <x:v>CASO-0156-to_be</x:v>
      </x:c>
      <x:c r="B313" t="str">
        <x:v>TO-BE</x:v>
      </x:c>
      <x:c r="C313" t="str">
        <x:v>2026-09</x:v>
      </x:c>
      <x:c r="D313" s="26" t="n">
        <x:v>1.058</x:v>
      </x:c>
      <x:c r="E313" s="26" t="n">
        <x:v>18.85</x:v>
      </x:c>
      <x:c r="F313" s="26" t="n">
        <x:v>19.908</x:v>
      </x:c>
      <x:c r="G313" t="n">
        <x:v>1</x:v>
      </x:c>
      <x:c r="H313" t="n">
        <x:v>0</x:v>
      </x:c>
      <x:c r="I313" t="n">
        <x:v>1</x:v>
      </x:c>
      <x:c r="J313" s="28" t="n">
        <x:v>63480</x:v>
      </x:c>
      <x:c r="K313" s="28" t="n">
        <x:v>70000</x:v>
      </x:c>
      <x:c r="L313" t="n">
        <x:v>1</x:v>
      </x:c>
      <x:c r="M313" t="str">
        <x:v>SINTETICO</x:v>
      </x:c>
    </x:row>
    <x:row r="314">
      <x:c r="A314" t="str">
        <x:v>CASO-0157-as_is</x:v>
      </x:c>
      <x:c r="B314" t="str">
        <x:v>AS-IS</x:v>
      </x:c>
      <x:c r="C314" t="str">
        <x:v>2026-09</x:v>
      </x:c>
      <x:c r="D314" s="26" t="n">
        <x:v>3.15</x:v>
      </x:c>
      <x:c r="E314" s="26" t="n">
        <x:v>42.449</x:v>
      </x:c>
      <x:c r="F314" s="26" t="n">
        <x:v>45.599</x:v>
      </x:c>
      <x:c r="G314" t="n">
        <x:v>0</x:v>
      </x:c>
      <x:c r="H314" t="n">
        <x:v>0</x:v>
      </x:c>
      <x:c r="I314" t="n">
        <x:v>0</x:v>
      </x:c>
      <x:c r="J314" s="28" t="n">
        <x:v>189000</x:v>
      </x:c>
      <x:c r="K314" s="28" t="n">
        <x:v>0</x:v>
      </x:c>
      <x:c r="L314" t="n">
        <x:v>0</x:v>
      </x:c>
      <x:c r="M314" t="str">
        <x:v>SINTETICO</x:v>
      </x:c>
    </x:row>
    <x:row r="315">
      <x:c r="A315" t="str">
        <x:v>CASO-0157-to_be</x:v>
      </x:c>
      <x:c r="B315" t="str">
        <x:v>TO-BE</x:v>
      </x:c>
      <x:c r="C315" t="str">
        <x:v>2026-09</x:v>
      </x:c>
      <x:c r="D315" s="26" t="n">
        <x:v>1.291</x:v>
      </x:c>
      <x:c r="E315" s="26" t="n">
        <x:v>26.165</x:v>
      </x:c>
      <x:c r="F315" s="26" t="n">
        <x:v>27.456</x:v>
      </x:c>
      <x:c r="G315" t="n">
        <x:v>0</x:v>
      </x:c>
      <x:c r="H315" t="n">
        <x:v>0</x:v>
      </x:c>
      <x:c r="I315" t="n">
        <x:v>1</x:v>
      </x:c>
      <x:c r="J315" s="28" t="n">
        <x:v>77460</x:v>
      </x:c>
      <x:c r="K315" s="28" t="n">
        <x:v>0</x:v>
      </x:c>
      <x:c r="L315" t="n">
        <x:v>0</x:v>
      </x:c>
      <x:c r="M315" t="str">
        <x:v>SINTETICO</x:v>
      </x:c>
    </x:row>
    <x:row r="316">
      <x:c r="A316" t="str">
        <x:v>CASO-0158-as_is</x:v>
      </x:c>
      <x:c r="B316" t="str">
        <x:v>AS-IS</x:v>
      </x:c>
      <x:c r="C316" t="str">
        <x:v>2026-09</x:v>
      </x:c>
      <x:c r="D316" s="26" t="n">
        <x:v>2.775</x:v>
      </x:c>
      <x:c r="E316" s="26" t="n">
        <x:v>54.913</x:v>
      </x:c>
      <x:c r="F316" s="26" t="n">
        <x:v>57.688</x:v>
      </x:c>
      <x:c r="G316" t="n">
        <x:v>0</x:v>
      </x:c>
      <x:c r="H316" t="n">
        <x:v>0</x:v>
      </x:c>
      <x:c r="I316" t="n">
        <x:v>0</x:v>
      </x:c>
      <x:c r="J316" s="28" t="n">
        <x:v>166500</x:v>
      </x:c>
      <x:c r="K316" s="28" t="n">
        <x:v>0</x:v>
      </x:c>
      <x:c r="L316" t="n">
        <x:v>0</x:v>
      </x:c>
      <x:c r="M316" t="str">
        <x:v>SINTETICO</x:v>
      </x:c>
    </x:row>
    <x:row r="317">
      <x:c r="A317" t="str">
        <x:v>CASO-0158-to_be</x:v>
      </x:c>
      <x:c r="B317" t="str">
        <x:v>TO-BE</x:v>
      </x:c>
      <x:c r="C317" t="str">
        <x:v>2026-09</x:v>
      </x:c>
      <x:c r="D317" s="26" t="n">
        <x:v>1.149</x:v>
      </x:c>
      <x:c r="E317" s="26" t="n">
        <x:v>25.921</x:v>
      </x:c>
      <x:c r="F317" s="26" t="n">
        <x:v>27.07</x:v>
      </x:c>
      <x:c r="G317" t="n">
        <x:v>0</x:v>
      </x:c>
      <x:c r="H317" t="n">
        <x:v>0</x:v>
      </x:c>
      <x:c r="I317" t="n">
        <x:v>1</x:v>
      </x:c>
      <x:c r="J317" s="28" t="n">
        <x:v>68940</x:v>
      </x:c>
      <x:c r="K317" s="28" t="n">
        <x:v>0</x:v>
      </x:c>
      <x:c r="L317" t="n">
        <x:v>0</x:v>
      </x:c>
      <x:c r="M317" t="str">
        <x:v>SINTETICO</x:v>
      </x:c>
    </x:row>
    <x:row r="318">
      <x:c r="A318" t="str">
        <x:v>CASO-0159-as_is</x:v>
      </x:c>
      <x:c r="B318" t="str">
        <x:v>AS-IS</x:v>
      </x:c>
      <x:c r="C318" t="str">
        <x:v>2026-09</x:v>
      </x:c>
      <x:c r="D318" s="26" t="n">
        <x:v>3.299</x:v>
      </x:c>
      <x:c r="E318" s="26" t="n">
        <x:v>50.364</x:v>
      </x:c>
      <x:c r="F318" s="26" t="n">
        <x:v>53.663</x:v>
      </x:c>
      <x:c r="G318" t="n">
        <x:v>1</x:v>
      </x:c>
      <x:c r="H318" t="n">
        <x:v>0</x:v>
      </x:c>
      <x:c r="I318" t="n">
        <x:v>1</x:v>
      </x:c>
      <x:c r="J318" s="28" t="n">
        <x:v>197940</x:v>
      </x:c>
      <x:c r="K318" s="28" t="n">
        <x:v>70000</x:v>
      </x:c>
      <x:c r="L318" t="n">
        <x:v>0</x:v>
      </x:c>
      <x:c r="M318" t="str">
        <x:v>SINTETICO</x:v>
      </x:c>
    </x:row>
    <x:row r="319">
      <x:c r="A319" t="str">
        <x:v>CASO-0159-to_be</x:v>
      </x:c>
      <x:c r="B319" t="str">
        <x:v>TO-BE</x:v>
      </x:c>
      <x:c r="C319" t="str">
        <x:v>2026-09</x:v>
      </x:c>
      <x:c r="D319" s="26" t="n">
        <x:v>1.423</x:v>
      </x:c>
      <x:c r="E319" s="26" t="n">
        <x:v>24.309</x:v>
      </x:c>
      <x:c r="F319" s="26" t="n">
        <x:v>25.732</x:v>
      </x:c>
      <x:c r="G319" t="n">
        <x:v>0</x:v>
      </x:c>
      <x:c r="H319" t="n">
        <x:v>0</x:v>
      </x:c>
      <x:c r="I319" t="n">
        <x:v>1</x:v>
      </x:c>
      <x:c r="J319" s="28" t="n">
        <x:v>85380</x:v>
      </x:c>
      <x:c r="K319" s="28" t="n">
        <x:v>0</x:v>
      </x:c>
      <x:c r="L319" t="n">
        <x:v>0</x:v>
      </x:c>
      <x:c r="M319" t="str">
        <x:v>SINTETICO</x:v>
      </x:c>
    </x:row>
    <x:row r="320">
      <x:c r="A320" t="str">
        <x:v>CASO-0160-as_is</x:v>
      </x:c>
      <x:c r="B320" t="str">
        <x:v>AS-IS</x:v>
      </x:c>
      <x:c r="C320" t="str">
        <x:v>2026-09</x:v>
      </x:c>
      <x:c r="D320" s="26" t="n">
        <x:v>2.358</x:v>
      </x:c>
      <x:c r="E320" s="26" t="n">
        <x:v>42.92</x:v>
      </x:c>
      <x:c r="F320" s="26" t="n">
        <x:v>45.278</x:v>
      </x:c>
      <x:c r="G320" t="n">
        <x:v>0</x:v>
      </x:c>
      <x:c r="H320" t="n">
        <x:v>0</x:v>
      </x:c>
      <x:c r="I320" t="n">
        <x:v>0</x:v>
      </x:c>
      <x:c r="J320" s="28" t="n">
        <x:v>141480</x:v>
      </x:c>
      <x:c r="K320" s="28" t="n">
        <x:v>0</x:v>
      </x:c>
      <x:c r="L320" t="n">
        <x:v>0</x:v>
      </x:c>
      <x:c r="M320" t="str">
        <x:v>SINTETICO</x:v>
      </x:c>
    </x:row>
    <x:row r="321">
      <x:c r="A321" t="str">
        <x:v>CASO-0160-to_be</x:v>
      </x:c>
      <x:c r="B321" t="str">
        <x:v>TO-BE</x:v>
      </x:c>
      <x:c r="C321" t="str">
        <x:v>2026-09</x:v>
      </x:c>
      <x:c r="D321" s="26" t="n">
        <x:v>1.149</x:v>
      </x:c>
      <x:c r="E321" s="26" t="n">
        <x:v>16.864</x:v>
      </x:c>
      <x:c r="F321" s="26" t="n">
        <x:v>18.013</x:v>
      </x:c>
      <x:c r="G321" t="n">
        <x:v>0</x:v>
      </x:c>
      <x:c r="H321" t="n">
        <x:v>0</x:v>
      </x:c>
      <x:c r="I321" t="n">
        <x:v>1</x:v>
      </x:c>
      <x:c r="J321" s="28" t="n">
        <x:v>68940</x:v>
      </x:c>
      <x:c r="K321" s="28" t="n">
        <x:v>0</x:v>
      </x:c>
      <x:c r="L321" t="n">
        <x:v>0</x:v>
      </x:c>
      <x:c r="M321" t="str">
        <x:v>SINTETICO</x:v>
      </x:c>
    </x:row>
    <x:row r="322">
      <x:c r="A322" t="str">
        <x:v>CASO-0161-as_is</x:v>
      </x:c>
      <x:c r="B322" t="str">
        <x:v>AS-IS</x:v>
      </x:c>
      <x:c r="C322" t="str">
        <x:v>2026-09</x:v>
      </x:c>
      <x:c r="D322" s="26" t="n">
        <x:v>2.82</x:v>
      </x:c>
      <x:c r="E322" s="26" t="n">
        <x:v>51.889</x:v>
      </x:c>
      <x:c r="F322" s="26" t="n">
        <x:v>54.709</x:v>
      </x:c>
      <x:c r="G322" t="n">
        <x:v>1</x:v>
      </x:c>
      <x:c r="H322" t="n">
        <x:v>0</x:v>
      </x:c>
      <x:c r="I322" t="n">
        <x:v>0</x:v>
      </x:c>
      <x:c r="J322" s="28" t="n">
        <x:v>169200</x:v>
      </x:c>
      <x:c r="K322" s="28" t="n">
        <x:v>70000</x:v>
      </x:c>
      <x:c r="L322" t="n">
        <x:v>1</x:v>
      </x:c>
      <x:c r="M322" t="str">
        <x:v>SINTETICO</x:v>
      </x:c>
    </x:row>
    <x:row r="323">
      <x:c r="A323" t="str">
        <x:v>CASO-0161-to_be</x:v>
      </x:c>
      <x:c r="B323" t="str">
        <x:v>TO-BE</x:v>
      </x:c>
      <x:c r="C323" t="str">
        <x:v>2026-09</x:v>
      </x:c>
      <x:c r="D323" s="26" t="n">
        <x:v>1.405</x:v>
      </x:c>
      <x:c r="E323" s="26" t="n">
        <x:v>22.398</x:v>
      </x:c>
      <x:c r="F323" s="26" t="n">
        <x:v>23.803</x:v>
      </x:c>
      <x:c r="G323" t="n">
        <x:v>0</x:v>
      </x:c>
      <x:c r="H323" t="n">
        <x:v>0</x:v>
      </x:c>
      <x:c r="I323" t="n">
        <x:v>0</x:v>
      </x:c>
      <x:c r="J323" s="28" t="n">
        <x:v>84300</x:v>
      </x:c>
      <x:c r="K323" s="28" t="n">
        <x:v>0</x:v>
      </x:c>
      <x:c r="L323" t="n">
        <x:v>1</x:v>
      </x:c>
      <x:c r="M323" t="str">
        <x:v>SINTETICO</x:v>
      </x:c>
    </x:row>
    <x:row r="324">
      <x:c r="A324" t="str">
        <x:v>CASO-0162-as_is</x:v>
      </x:c>
      <x:c r="B324" t="str">
        <x:v>AS-IS</x:v>
      </x:c>
      <x:c r="C324" t="str">
        <x:v>2026-09</x:v>
      </x:c>
      <x:c r="D324" s="26" t="n">
        <x:v>2.591</x:v>
      </x:c>
      <x:c r="E324" s="26" t="n">
        <x:v>28.981</x:v>
      </x:c>
      <x:c r="F324" s="26" t="n">
        <x:v>31.572</x:v>
      </x:c>
      <x:c r="G324" t="n">
        <x:v>0</x:v>
      </x:c>
      <x:c r="H324" t="n">
        <x:v>0</x:v>
      </x:c>
      <x:c r="I324" t="n">
        <x:v>0</x:v>
      </x:c>
      <x:c r="J324" s="28" t="n">
        <x:v>155460</x:v>
      </x:c>
      <x:c r="K324" s="28" t="n">
        <x:v>0</x:v>
      </x:c>
      <x:c r="L324" t="n">
        <x:v>0</x:v>
      </x:c>
      <x:c r="M324" t="str">
        <x:v>SINTETICO</x:v>
      </x:c>
    </x:row>
    <x:row r="325">
      <x:c r="A325" t="str">
        <x:v>CASO-0162-to_be</x:v>
      </x:c>
      <x:c r="B325" t="str">
        <x:v>TO-BE</x:v>
      </x:c>
      <x:c r="C325" t="str">
        <x:v>2026-09</x:v>
      </x:c>
      <x:c r="D325" s="26" t="n">
        <x:v>0.944</x:v>
      </x:c>
      <x:c r="E325" s="26" t="n">
        <x:v>18.651</x:v>
      </x:c>
      <x:c r="F325" s="26" t="n">
        <x:v>19.595</x:v>
      </x:c>
      <x:c r="G325" t="n">
        <x:v>0</x:v>
      </x:c>
      <x:c r="H325" t="n">
        <x:v>0</x:v>
      </x:c>
      <x:c r="I325" t="n">
        <x:v>0</x:v>
      </x:c>
      <x:c r="J325" s="28" t="n">
        <x:v>56640</x:v>
      </x:c>
      <x:c r="K325" s="28" t="n">
        <x:v>0</x:v>
      </x:c>
      <x:c r="L325" t="n">
        <x:v>0</x:v>
      </x:c>
      <x:c r="M325" t="str">
        <x:v>SINTETICO</x:v>
      </x:c>
    </x:row>
    <x:row r="326">
      <x:c r="A326" t="str">
        <x:v>CASO-0163-as_is</x:v>
      </x:c>
      <x:c r="B326" t="str">
        <x:v>AS-IS</x:v>
      </x:c>
      <x:c r="C326" t="str">
        <x:v>2026-09</x:v>
      </x:c>
      <x:c r="D326" s="26" t="n">
        <x:v>2.006</x:v>
      </x:c>
      <x:c r="E326" s="26" t="n">
        <x:v>38.206</x:v>
      </x:c>
      <x:c r="F326" s="26" t="n">
        <x:v>40.212</x:v>
      </x:c>
      <x:c r="G326" t="n">
        <x:v>0</x:v>
      </x:c>
      <x:c r="H326" t="n">
        <x:v>1</x:v>
      </x:c>
      <x:c r="I326" t="n">
        <x:v>0</x:v>
      </x:c>
      <x:c r="J326" s="28" t="n">
        <x:v>120360</x:v>
      </x:c>
      <x:c r="K326" s="28" t="n">
        <x:v>0</x:v>
      </x:c>
      <x:c r="L326" t="n">
        <x:v>0</x:v>
      </x:c>
      <x:c r="M326" t="str">
        <x:v>SINTETICO</x:v>
      </x:c>
    </x:row>
    <x:row r="327">
      <x:c r="A327" t="str">
        <x:v>CASO-0163-to_be</x:v>
      </x:c>
      <x:c r="B327" t="str">
        <x:v>TO-BE</x:v>
      </x:c>
      <x:c r="C327" t="str">
        <x:v>2026-09</x:v>
      </x:c>
      <x:c r="D327" s="26" t="n">
        <x:v>0.792</x:v>
      </x:c>
      <x:c r="E327" s="26" t="n">
        <x:v>17.198</x:v>
      </x:c>
      <x:c r="F327" s="26" t="n">
        <x:v>17.99</x:v>
      </x:c>
      <x:c r="G327" t="n">
        <x:v>0</x:v>
      </x:c>
      <x:c r="H327" t="n">
        <x:v>0</x:v>
      </x:c>
      <x:c r="I327" t="n">
        <x:v>0</x:v>
      </x:c>
      <x:c r="J327" s="28" t="n">
        <x:v>47520</x:v>
      </x:c>
      <x:c r="K327" s="28" t="n">
        <x:v>0</x:v>
      </x:c>
      <x:c r="L327" t="n">
        <x:v>0</x:v>
      </x:c>
      <x:c r="M327" t="str">
        <x:v>SINTETICO</x:v>
      </x:c>
    </x:row>
    <x:row r="328">
      <x:c r="A328" t="str">
        <x:v>CASO-0164-as_is</x:v>
      </x:c>
      <x:c r="B328" t="str">
        <x:v>AS-IS</x:v>
      </x:c>
      <x:c r="C328" t="str">
        <x:v>2026-09</x:v>
      </x:c>
      <x:c r="D328" s="26" t="n">
        <x:v>3.326</x:v>
      </x:c>
      <x:c r="E328" s="26" t="n">
        <x:v>42.91</x:v>
      </x:c>
      <x:c r="F328" s="26" t="n">
        <x:v>46.236</x:v>
      </x:c>
      <x:c r="G328" t="n">
        <x:v>0</x:v>
      </x:c>
      <x:c r="H328" t="n">
        <x:v>0</x:v>
      </x:c>
      <x:c r="I328" t="n">
        <x:v>0</x:v>
      </x:c>
      <x:c r="J328" s="28" t="n">
        <x:v>199560</x:v>
      </x:c>
      <x:c r="K328" s="28" t="n">
        <x:v>0</x:v>
      </x:c>
      <x:c r="L328" t="n">
        <x:v>1</x:v>
      </x:c>
      <x:c r="M328" t="str">
        <x:v>SINTETICO</x:v>
      </x:c>
    </x:row>
    <x:row r="329">
      <x:c r="A329" t="str">
        <x:v>CASO-0164-to_be</x:v>
      </x:c>
      <x:c r="B329" t="str">
        <x:v>TO-BE</x:v>
      </x:c>
      <x:c r="C329" t="str">
        <x:v>2026-09</x:v>
      </x:c>
      <x:c r="D329" s="26" t="n">
        <x:v>1.214</x:v>
      </x:c>
      <x:c r="E329" s="26" t="n">
        <x:v>17.523</x:v>
      </x:c>
      <x:c r="F329" s="26" t="n">
        <x:v>18.737</x:v>
      </x:c>
      <x:c r="G329" t="n">
        <x:v>0</x:v>
      </x:c>
      <x:c r="H329" t="n">
        <x:v>0</x:v>
      </x:c>
      <x:c r="I329" t="n">
        <x:v>1</x:v>
      </x:c>
      <x:c r="J329" s="28" t="n">
        <x:v>72840</x:v>
      </x:c>
      <x:c r="K329" s="28" t="n">
        <x:v>0</x:v>
      </x:c>
      <x:c r="L329" t="n">
        <x:v>1</x:v>
      </x:c>
      <x:c r="M329" t="str">
        <x:v>SINTETICO</x:v>
      </x:c>
    </x:row>
    <x:row r="330">
      <x:c r="A330" t="str">
        <x:v>CASO-0165-as_is</x:v>
      </x:c>
      <x:c r="B330" t="str">
        <x:v>AS-IS</x:v>
      </x:c>
      <x:c r="C330" t="str">
        <x:v>2026-09</x:v>
      </x:c>
      <x:c r="D330" s="26" t="n">
        <x:v>3.172</x:v>
      </x:c>
      <x:c r="E330" s="26" t="n">
        <x:v>43.725</x:v>
      </x:c>
      <x:c r="F330" s="26" t="n">
        <x:v>46.897</x:v>
      </x:c>
      <x:c r="G330" t="n">
        <x:v>0</x:v>
      </x:c>
      <x:c r="H330" t="n">
        <x:v>0</x:v>
      </x:c>
      <x:c r="I330" t="n">
        <x:v>1</x:v>
      </x:c>
      <x:c r="J330" s="28" t="n">
        <x:v>190320</x:v>
      </x:c>
      <x:c r="K330" s="28" t="n">
        <x:v>0</x:v>
      </x:c>
      <x:c r="L330" t="n">
        <x:v>0</x:v>
      </x:c>
      <x:c r="M330" t="str">
        <x:v>SINTETICO</x:v>
      </x:c>
    </x:row>
    <x:row r="331">
      <x:c r="A331" t="str">
        <x:v>CASO-0165-to_be</x:v>
      </x:c>
      <x:c r="B331" t="str">
        <x:v>TO-BE</x:v>
      </x:c>
      <x:c r="C331" t="str">
        <x:v>2026-09</x:v>
      </x:c>
      <x:c r="D331" s="26" t="n">
        <x:v>1.083</x:v>
      </x:c>
      <x:c r="E331" s="26" t="n">
        <x:v>22.196</x:v>
      </x:c>
      <x:c r="F331" s="26" t="n">
        <x:v>23.279</x:v>
      </x:c>
      <x:c r="G331" t="n">
        <x:v>0</x:v>
      </x:c>
      <x:c r="H331" t="n">
        <x:v>1</x:v>
      </x:c>
      <x:c r="I331" t="n">
        <x:v>1</x:v>
      </x:c>
      <x:c r="J331" s="28" t="n">
        <x:v>64980</x:v>
      </x:c>
      <x:c r="K331" s="28" t="n">
        <x:v>0</x:v>
      </x:c>
      <x:c r="L331" t="n">
        <x:v>0</x:v>
      </x:c>
      <x:c r="M331" t="str">
        <x:v>SINTETICO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COMPARACIÓN DE ESCENARIOS (MISMA MUESTRA PAREADA)</x:v>
      </x:c>
      <x:c r="B1" s="4"/>
      <x:c r="C1" s="4"/>
      <x:c r="D1" s="4"/>
    </x:row>
    <x:row r="3" ht="24" customHeight="1">
      <x:c r="A3" s="13" t="str">
        <x:v>Métrica</x:v>
      </x:c>
      <x:c r="B3" s="13" t="str">
        <x:v>AS-IS</x:v>
      </x:c>
      <x:c r="C3" s="13" t="str">
        <x:v>TO-BE</x:v>
      </x:c>
      <x:c r="D3" s="13" t="str">
        <x:v>Diferencia (AS-IS - TO-BE)</x:v>
      </x:c>
    </x:row>
    <x:row r="4">
      <x:c r="A4" t="str">
        <x:v>Número casos</x:v>
      </x:c>
      <x:c r="B4" t="n">
        <x:f>COUNTIF(Base_Casos!$B$2:$B$331,"AS-IS")</x:f>
        <x:v>165</x:v>
      </x:c>
      <x:c r="C4" t="n">
        <x:f>COUNTIF(Base_Casos!$B$2:$B$331,"TO-BE")</x:f>
        <x:v>165</x:v>
      </x:c>
      <x:c r="D4" t="n">
        <x:f>B4-C4</x:f>
        <x:v>0</x:v>
      </x:c>
    </x:row>
    <x:row r="5">
      <x:c r="A5" t="str">
        <x:v>Horas humanas medias/caso</x:v>
      </x:c>
      <x:c r="B5" s="26" t="n">
        <x:f>IF(B$4=0,0,SUMIF(Base_Casos!$B$2:$B$331,"AS-IS",Base_Casos!$D$2:$D$331)/B$4)</x:f>
        <x:v>2.861575757575759</x:v>
      </x:c>
      <x:c r="C5" s="26" t="n">
        <x:f>IF(C$4=0,0,SUMIF(Base_Casos!$B$2:$B$331,"TO-BE",Base_Casos!$D$2:$D$331)/C$4)</x:f>
        <x:v>1.1482787878787875</x:v>
      </x:c>
      <x:c r="D5" s="26" t="n">
        <x:f>B5-C5</x:f>
        <x:v>1.7132969696969718</x:v>
      </x:c>
    </x:row>
    <x:row r="6">
      <x:c r="A6" t="str">
        <x:v>Espera media/caso</x:v>
      </x:c>
      <x:c r="B6" s="26" t="n">
        <x:f>IF(B$4=0,0,SUMIF(Base_Casos!$B$2:$B$331,"AS-IS",Base_Casos!$E$2:$E$331)/B$4)</x:f>
        <x:v>42.17886666666667</x:v>
      </x:c>
      <x:c r="C6" s="26" t="n">
        <x:f>IF(C$4=0,0,SUMIF(Base_Casos!$B$2:$B$331,"TO-BE",Base_Casos!$E$2:$E$331)/C$4)</x:f>
        <x:v>21.308739393939387</x:v>
      </x:c>
      <x:c r="D6" s="26" t="n">
        <x:f>B6-C6</x:f>
        <x:v>20.870127272727284</x:v>
      </x:c>
    </x:row>
    <x:row r="7">
      <x:c r="A7" t="str">
        <x:v>Ciclo medio/caso</x:v>
      </x:c>
      <x:c r="B7" s="26" t="n">
        <x:f>IF(B$4=0,0,SUMIF(Base_Casos!$B$2:$B$331,"AS-IS",Base_Casos!$F$2:$F$331)/B$4)</x:f>
        <x:v>45.04044242424245</x:v>
      </x:c>
      <x:c r="C7" s="26" t="n">
        <x:f>IF(C$4=0,0,SUMIF(Base_Casos!$B$2:$B$331,"TO-BE",Base_Casos!$F$2:$F$331)/C$4)</x:f>
        <x:v>22.457018181818185</x:v>
      </x:c>
      <x:c r="D7" s="26" t="n">
        <x:f>B7-C7</x:f>
        <x:v>22.583424242424265</x:v>
      </x:c>
    </x:row>
    <x:row r="8">
      <x:c r="A8" t="str">
        <x:v>Tasa de error</x:v>
      </x:c>
      <x:c r="B8" s="30" t="n">
        <x:f>IF(B$4=0,0,SUMIF(Base_Casos!$B$2:$B$331,"AS-IS",Base_Casos!$G$2:$G$331)/B$4)</x:f>
        <x:v>0.18181818181818182</x:v>
      </x:c>
      <x:c r="C8" s="30" t="n">
        <x:f>IF(C$4=0,0,SUMIF(Base_Casos!$B$2:$B$331,"TO-BE",Base_Casos!$G$2:$G$331)/C$4)</x:f>
        <x:v>0.08484848484848485</x:v>
      </x:c>
      <x:c r="D8" s="30" t="n">
        <x:f>B8-C8</x:f>
        <x:v>0.09696969696969697</x:v>
      </x:c>
    </x:row>
    <x:row r="9">
      <x:c r="A9" t="str">
        <x:v>Tasa de reproceso</x:v>
      </x:c>
      <x:c r="B9" s="30" t="n">
        <x:f>IF(B$4=0,0,SUMIF(Base_Casos!$B$2:$B$331,"AS-IS",Base_Casos!$H$2:$H$331)/B$4)</x:f>
        <x:v>0.2545454545454545</x:v>
      </x:c>
      <x:c r="C9" s="30" t="n">
        <x:f>IF(C$4=0,0,SUMIF(Base_Casos!$B$2:$B$331,"TO-BE",Base_Casos!$H$2:$H$331)/C$4)</x:f>
        <x:v>0.08484848484848485</x:v>
      </x:c>
      <x:c r="D9" s="30" t="n">
        <x:f>B9-C9</x:f>
        <x:v>0.16969696969696968</x:v>
      </x:c>
    </x:row>
    <x:row r="10">
      <x:c r="A10" t="str">
        <x:v>Tasa casos automatizados</x:v>
      </x:c>
      <x:c r="B10" s="30" t="n">
        <x:f>IF(B$4=0,0,SUMIF(Base_Casos!$B$2:$B$331,"AS-IS",Base_Casos!$I$2:$I$331)/B$4)</x:f>
        <x:v>0.12121212121212122</x:v>
      </x:c>
      <x:c r="C10" s="30" t="n">
        <x:f>IF(C$4=0,0,SUMIF(Base_Casos!$B$2:$B$331,"TO-BE",Base_Casos!$I$2:$I$331)/C$4)</x:f>
        <x:v>0.7575757575757576</x:v>
      </x:c>
      <x:c r="D10" s="30" t="n">
        <x:f>B10-C10</x:f>
        <x:v>-0.6363636363636364</x:v>
      </x:c>
    </x:row>
    <x:row r="11">
      <x:c r="A11" t="str">
        <x:v>Costo laboral medio/caso</x:v>
      </x:c>
      <x:c r="B11" s="28" t="n">
        <x:f>IF(B$4=0,0,SUMIF(Base_Casos!$B$2:$B$331,"AS-IS",Base_Casos!$J$2:$J$331)/B$4)</x:f>
        <x:v>171694.54545454544</x:v>
      </x:c>
      <x:c r="C11" s="28" t="n">
        <x:f>IF(C$4=0,0,SUMIF(Base_Casos!$B$2:$B$331,"TO-BE",Base_Casos!$J$2:$J$331)/C$4)</x:f>
        <x:v>68896.72727272728</x:v>
      </x:c>
      <x:c r="D11" s="28" t="n">
        <x:f>B11-C11</x:f>
        <x:v>102797.81818181816</x:v>
      </x:c>
    </x:row>
    <x:row r="14">
      <x:c r="A14" s="10" t="str">
        <x:v>Advertencia</x:v>
      </x:c>
      <x:c r="B14" s="10" t="str">
        <x:v>Comparar cohortes y alcance equivalentes.</x:v>
      </x:c>
      <x:c r="C14" s="10" t="str">
        <x:v>Cifras sintéticas.</x:v>
      </x:c>
      <x:c r="D14" s="10" t="str">
        <x:v>Las tasas están en escala 0–1.</x:v>
      </x:c>
    </x:row>
    <x:row r="15">
      <x:c r="A15" s="10" t="str">
        <x:v>No concluir</x:v>
      </x:c>
      <x:c r="B15" s="10" t="str">
        <x:v>La diferencia no prueba causalidad.</x:v>
      </x:c>
      <x:c r="C15" s="10" t="str">
        <x:v>La reducción de horas puede NO ahorrar caja.</x:v>
      </x:c>
      <x:c r="D15" s="10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7" hidden="0" customWidth="1"/>
    <x:col min="3" max="3" width="22" hidden="0" customWidth="1"/>
    <x:col min="4" max="4" width="55" hidden="0" customWidth="1"/>
  </x:cols>
  <x:sheetData>
    <x:row r="1" ht="28" customHeight="1">
      <x:c r="A1" s="4" t="str">
        <x:v>ROI SIMULADO — FÓRMULAS TRANSPARENTES</x:v>
      </x:c>
      <x:c r="B1" s="4"/>
      <x:c r="C1" s="4"/>
      <x:c r="D1" s="4"/>
    </x:row>
    <x:row r="3" ht="24" customHeight="1">
      <x:c r="A3" s="13" t="str">
        <x:v>Concepto</x:v>
      </x:c>
      <x:c r="B3" s="13" t="str">
        <x:v>Valor o fórmula</x:v>
      </x:c>
      <x:c r="C3" s="13" t="str">
        <x:v>Unidad</x:v>
      </x:c>
      <x:c r="D3" s="13" t="str">
        <x:v>Interpretación</x:v>
      </x:c>
    </x:row>
    <x:row r="4">
      <x:c r="A4" t="str">
        <x:v>Volumen anual</x:v>
      </x:c>
      <x:c r="B4" t="n">
        <x:f>Supuestos!B4</x:f>
        <x:v>660</x:v>
      </x:c>
      <x:c r="C4" t="str">
        <x:v>casos/año</x:v>
      </x:c>
      <x:c r="D4" s="10" t="str">
        <x:v>Hipótesis en Supuestos</x:v>
      </x:c>
    </x:row>
    <x:row r="5">
      <x:c r="A5" t="str">
        <x:v>Horas humanas evitadas por caso</x:v>
      </x:c>
      <x:c r="B5" t="n">
        <x:f>Comparacion!D5</x:f>
        <x:v>1.7132969696969718</x:v>
      </x:c>
      <x:c r="C5" t="str">
        <x:v>h/caso</x:v>
      </x:c>
      <x:c r="D5" s="10" t="str">
        <x:v>Misma cohorte</x:v>
      </x:c>
    </x:row>
    <x:row r="6">
      <x:c r="A6" t="str">
        <x:v>Disminución tasa de error</x:v>
      </x:c>
      <x:c r="B6" s="30" t="n">
        <x:f>Comparacion!D8</x:f>
        <x:v>0.09696969696969697</x:v>
      </x:c>
      <x:c r="C6" t="str">
        <x:v>proporción</x:v>
      </x:c>
      <x:c r="D6" s="10" t="str">
        <x:v>AS-IS menos TO-BE</x:v>
      </x:c>
    </x:row>
    <x:row r="7">
      <x:c r="A7" t="str">
        <x:v>Capacidad liberada/caso expresada en COP</x:v>
      </x:c>
      <x:c r="B7" s="28" t="n">
        <x:f>B5*Supuestos!B5</x:f>
        <x:v>102797.81818181831</x:v>
      </x:c>
      <x:c r="C7" t="str">
        <x:v>COP/caso</x:v>
      </x:c>
      <x:c r="D7" s="10" t="str">
        <x:v>No es necesariamente caja</x:v>
      </x:c>
    </x:row>
    <x:row r="8">
      <x:c r="A8" t="str">
        <x:v>Costo de errores evitados/caso</x:v>
      </x:c>
      <x:c r="B8" s="28" t="n">
        <x:f>B6*Supuestos!B6</x:f>
        <x:v>6787.878787878788</x:v>
      </x:c>
      <x:c r="C8" t="str">
        <x:v>COP/caso</x:v>
      </x:c>
      <x:c r="D8" s="10" t="str">
        <x:v>Hipótesis costo por evento</x:v>
      </x:c>
    </x:row>
    <x:row r="9">
      <x:c r="A9" t="str">
        <x:v>Capacidad liberada anual (valor teórico)</x:v>
      </x:c>
      <x:c r="B9" s="28" t="n">
        <x:f>B7*B4</x:f>
        <x:v>67846560.00000009</x:v>
      </x:c>
      <x:c r="C9" t="str">
        <x:v>COP/año</x:v>
      </x:c>
      <x:c r="D9" s="10" t="str">
        <x:v>Valor bruto de las horas liberadas</x:v>
      </x:c>
    </x:row>
    <x:row r="10">
      <x:c r="A10" t="str">
        <x:v>Ahorro laboral anual monetizable</x:v>
      </x:c>
      <x:c r="B10" s="28" t="n">
        <x:f>B9*Supuestos!B9</x:f>
        <x:v>47492592.00000006</x:v>
      </x:c>
      <x:c r="C10" t="str">
        <x:v>COP/año</x:v>
      </x:c>
      <x:c r="D10" s="10" t="str">
        <x:v>Aplica fracción monetizable explícita</x:v>
      </x:c>
    </x:row>
    <x:row r="11">
      <x:c r="A11" t="str">
        <x:v>Costo de errores anual evitado</x:v>
      </x:c>
      <x:c r="B11" s="28" t="n">
        <x:f>B8*B4</x:f>
        <x:v>4480000</x:v>
      </x:c>
      <x:c r="C11" t="str">
        <x:v>COP/año</x:v>
      </x:c>
      <x:c r="D11" s="10" t="str">
        <x:v>No duplicar costos</x:v>
      </x:c>
    </x:row>
    <x:row r="12">
      <x:c r="A12" t="str">
        <x:v>Beneficio anual monetizado</x:v>
      </x:c>
      <x:c r="B12" s="28" t="n">
        <x:f>B10+B11</x:f>
        <x:v>51972592.00000006</x:v>
      </x:c>
      <x:c r="C12" t="str">
        <x:v>COP/año</x:v>
      </x:c>
      <x:c r="D12" s="10" t="str">
        <x:v>Labor monetizable + errores</x:v>
      </x:c>
    </x:row>
    <x:row r="13">
      <x:c r="A13" t="str">
        <x:v>Mantenimiento anual</x:v>
      </x:c>
      <x:c r="B13" s="28" t="n">
        <x:f>Supuestos!B8*12</x:f>
        <x:v>7800000</x:v>
      </x:c>
      <x:c r="C13" t="str">
        <x:v>COP/año</x:v>
      </x:c>
      <x:c r="D13" s="10" t="str">
        <x:v>Costo recurrente</x:v>
      </x:c>
    </x:row>
    <x:row r="14">
      <x:c r="A14" t="str">
        <x:v>Inversión inicial</x:v>
      </x:c>
      <x:c r="B14" s="28" t="n">
        <x:f>Supuestos!B7</x:f>
        <x:v>25000000</x:v>
      </x:c>
      <x:c r="C14" t="str">
        <x:v>COP</x:v>
      </x:c>
      <x:c r="D14" s="10" t="str">
        <x:v>Desembolso inicial</x:v>
      </x:c>
    </x:row>
    <x:row r="15">
      <x:c r="A15" t="str">
        <x:v>Beneficio neto año 1</x:v>
      </x:c>
      <x:c r="B15" s="28" t="n">
        <x:f>B12-B13-B14</x:f>
        <x:v>19172592.00000006</x:v>
      </x:c>
      <x:c r="C15" t="str">
        <x:v>COP/año</x:v>
      </x:c>
      <x:c r="D15" s="10" t="str">
        <x:v>Incluye inversión inicial</x:v>
      </x:c>
    </x:row>
    <x:row r="16">
      <x:c r="A16" t="str">
        <x:v>ROI año 1</x:v>
      </x:c>
      <x:c r="B16" s="30" t="n">
        <x:f>IF(B13+B14=0,0,B15/(B13+B14))</x:f>
        <x:v>0.5845302439024408</x:v>
      </x:c>
      <x:c r="C16" t="str">
        <x:v>%</x:v>
      </x:c>
      <x:c r="D16" s="10" t="str">
        <x:v>Beneficio neto / costo total año 1</x:v>
      </x:c>
    </x:row>
    <x:row r="17">
      <x:c r="A17" t="str">
        <x:v>Meses para recuperar inversión</x:v>
      </x:c>
      <x:c r="B17" t="n">
        <x:f>IF(B12&lt;=B13,"N/D",B14/((B12-B13)/12))</x:f>
        <x:v>6.791541687207299</x:v>
      </x:c>
      <x:c r="C17" t="str">
        <x:v>meses</x:v>
      </x:c>
      <x:c r="D17" s="10" t="str">
        <x:v>Recuperación simple, no descontada</x:v>
      </x:c>
    </x:row>
    <x:row r="18">
      <x:c r="A18" t="str">
        <x:v>Volumen anual para punto de equilibrio</x:v>
      </x:c>
      <x:c r="B18" t="n">
        <x:f>IF(B7*Supuestos!B9+B8=0,"N/D",(B13+B14)/(B7*Supuestos!B9+B8))</x:f>
        <x:v>416.5272342006721</x:v>
      </x:c>
      <x:c r="C18" t="str">
        <x:v>casos/año</x:v>
      </x:c>
      <x:c r="D18" s="10" t="str">
        <x:v>Supone costos y ahorro promedio constantes</x:v>
      </x:c>
    </x:row>
    <x:row r="19">
      <x:c r="A19" t="str">
        <x:v>Horas humanas liberadas anuales</x:v>
      </x:c>
      <x:c r="B19" t="n">
        <x:f>B5*B4</x:f>
        <x:v>1130.7760000000014</x:v>
      </x:c>
      <x:c r="C19" t="str">
        <x:v>horas/año</x:v>
      </x:c>
      <x:c r="D19" s="10" t="str">
        <x:v>Capacidad, no caja por definición</x:v>
      </x:c>
    </x:row>
    <x:row r="21">
      <x:c r="A21" s="34" t="str">
        <x:v>No sustituye una evaluación financiera: no se incluyen impuestos, riesgos, ajuste de inflación ni descuento de flujos.</x:v>
      </x:c>
      <x:c r="B21" s="34"/>
      <x:c r="C21" s="34"/>
      <x:c r="D21" s="34"/>
    </x:row>
  </x:sheetData>
  <x:mergeCells>
    <x:mergeCell ref="A1:D1"/>
    <x:mergeCell ref="A21:D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FLUJO 12 MESES — SENSIBILIDAD DEL NEGOCIO</x:v>
      </x:c>
      <x:c r="B1" s="4"/>
      <x:c r="C1" s="4"/>
      <x:c r="D1" s="4"/>
      <x:c r="E1" s="4"/>
      <x:c r="F1" s="4"/>
      <x:c r="G1" s="4"/>
      <x:c r="H1" s="4"/>
    </x:row>
    <x:row r="4" ht="24" customHeight="1">
      <x:c r="A4" s="13" t="str">
        <x:v>Mes</x:v>
      </x:c>
      <x:c r="B4" s="13" t="str">
        <x:v>Casos/año / 12</x:v>
      </x:c>
      <x:c r="C4" s="13" t="str">
        <x:v>Ahorro laboral COP</x:v>
      </x:c>
      <x:c r="D4" s="13" t="str">
        <x:v>Error evitado COP</x:v>
      </x:c>
      <x:c r="E4" s="13" t="str">
        <x:v>Opex COP</x:v>
      </x:c>
      <x:c r="F4" s="13" t="str">
        <x:v>Inversión COP</x:v>
      </x:c>
      <x:c r="G4" s="13" t="str">
        <x:v>Flujo neto COP</x:v>
      </x:c>
      <x:c r="H4" s="13" t="str">
        <x:v>Acumulado COP</x:v>
      </x:c>
    </x:row>
    <x:row r="5">
      <x:c r="A5" t="n">
        <x:v>1</x:v>
      </x:c>
      <x:c r="B5" s="36" t="n">
        <x:f>ROI!$B$4/12</x:f>
        <x:v>55</x:v>
      </x:c>
      <x:c r="C5" s="28" t="n">
        <x:f>B5*ROI!$B$7*Supuestos!$B$9</x:f>
        <x:v>3957716.000000004</x:v>
      </x:c>
      <x:c r="D5" s="28" t="n">
        <x:f>B5*ROI!$B$8</x:f>
        <x:v>373333.3333333333</x:v>
      </x:c>
      <x:c r="E5" s="28" t="n">
        <x:f>Supuestos!$B$8</x:f>
        <x:v>650000</x:v>
      </x:c>
      <x:c r="F5" s="28" t="n">
        <x:f>IF(A5=1,ROI!$B$14,0)</x:f>
        <x:v>25000000</x:v>
      </x:c>
      <x:c r="G5" s="28" t="n">
        <x:f>C5+D5-E5-F5</x:f>
        <x:v>-21318950.666666664</x:v>
      </x:c>
      <x:c r="H5" s="28" t="n">
        <x:f>SUM($G$5:G5)</x:f>
        <x:v>-21318950.666666664</x:v>
      </x:c>
    </x:row>
    <x:row r="6">
      <x:c r="A6" t="n">
        <x:v>2</x:v>
      </x:c>
      <x:c r="B6" s="36" t="n">
        <x:f>ROI!$B$4/12</x:f>
        <x:v>55</x:v>
      </x:c>
      <x:c r="C6" s="28" t="n">
        <x:f>B6*ROI!$B$7*Supuestos!$B$9</x:f>
        <x:v>3957716.000000004</x:v>
      </x:c>
      <x:c r="D6" s="28" t="n">
        <x:f>B6*ROI!$B$8</x:f>
        <x:v>373333.3333333333</x:v>
      </x:c>
      <x:c r="E6" s="28" t="n">
        <x:f>Supuestos!$B$8</x:f>
        <x:v>650000</x:v>
      </x:c>
      <x:c r="F6" s="28" t="n">
        <x:f>IF(A6=1,ROI!$B$14,0)</x:f>
        <x:v>0</x:v>
      </x:c>
      <x:c r="G6" s="28" t="n">
        <x:f>C6+D6-E6-F6</x:f>
        <x:v>3681049.3333333377</x:v>
      </x:c>
      <x:c r="H6" s="28" t="n">
        <x:f>SUM($G$5:G6)</x:f>
        <x:v>-17637901.33333333</x:v>
      </x:c>
    </x:row>
    <x:row r="7">
      <x:c r="A7" t="n">
        <x:v>3</x:v>
      </x:c>
      <x:c r="B7" s="36" t="n">
        <x:f>ROI!$B$4/12</x:f>
        <x:v>55</x:v>
      </x:c>
      <x:c r="C7" s="28" t="n">
        <x:f>B7*ROI!$B$7*Supuestos!$B$9</x:f>
        <x:v>3957716.000000004</x:v>
      </x:c>
      <x:c r="D7" s="28" t="n">
        <x:f>B7*ROI!$B$8</x:f>
        <x:v>373333.3333333333</x:v>
      </x:c>
      <x:c r="E7" s="28" t="n">
        <x:f>Supuestos!$B$8</x:f>
        <x:v>650000</x:v>
      </x:c>
      <x:c r="F7" s="28" t="n">
        <x:f>IF(A7=1,ROI!$B$14,0)</x:f>
        <x:v>0</x:v>
      </x:c>
      <x:c r="G7" s="28" t="n">
        <x:f>C7+D7-E7-F7</x:f>
        <x:v>3681049.3333333377</x:v>
      </x:c>
      <x:c r="H7" s="28" t="n">
        <x:f>SUM($G$5:G7)</x:f>
        <x:v>-13956851.99999999</x:v>
      </x:c>
    </x:row>
    <x:row r="8">
      <x:c r="A8" t="n">
        <x:v>4</x:v>
      </x:c>
      <x:c r="B8" s="36" t="n">
        <x:f>ROI!$B$4/12</x:f>
        <x:v>55</x:v>
      </x:c>
      <x:c r="C8" s="28" t="n">
        <x:f>B8*ROI!$B$7*Supuestos!$B$9</x:f>
        <x:v>3957716.000000004</x:v>
      </x:c>
      <x:c r="D8" s="28" t="n">
        <x:f>B8*ROI!$B$8</x:f>
        <x:v>373333.3333333333</x:v>
      </x:c>
      <x:c r="E8" s="28" t="n">
        <x:f>Supuestos!$B$8</x:f>
        <x:v>650000</x:v>
      </x:c>
      <x:c r="F8" s="28" t="n">
        <x:f>IF(A8=1,ROI!$B$14,0)</x:f>
        <x:v>0</x:v>
      </x:c>
      <x:c r="G8" s="28" t="n">
        <x:f>C8+D8-E8-F8</x:f>
        <x:v>3681049.3333333377</x:v>
      </x:c>
      <x:c r="H8" s="28" t="n">
        <x:f>SUM($G$5:G8)</x:f>
        <x:v>-10275802.666666653</x:v>
      </x:c>
    </x:row>
    <x:row r="9">
      <x:c r="A9" t="n">
        <x:v>5</x:v>
      </x:c>
      <x:c r="B9" s="36" t="n">
        <x:f>ROI!$B$4/12</x:f>
        <x:v>55</x:v>
      </x:c>
      <x:c r="C9" s="28" t="n">
        <x:f>B9*ROI!$B$7*Supuestos!$B$9</x:f>
        <x:v>3957716.000000004</x:v>
      </x:c>
      <x:c r="D9" s="28" t="n">
        <x:f>B9*ROI!$B$8</x:f>
        <x:v>373333.3333333333</x:v>
      </x:c>
      <x:c r="E9" s="28" t="n">
        <x:f>Supuestos!$B$8</x:f>
        <x:v>650000</x:v>
      </x:c>
      <x:c r="F9" s="28" t="n">
        <x:f>IF(A9=1,ROI!$B$14,0)</x:f>
        <x:v>0</x:v>
      </x:c>
      <x:c r="G9" s="28" t="n">
        <x:f>C9+D9-E9-F9</x:f>
        <x:v>3681049.3333333377</x:v>
      </x:c>
      <x:c r="H9" s="28" t="n">
        <x:f>SUM($G$5:G9)</x:f>
        <x:v>-6594753.333333315</x:v>
      </x:c>
    </x:row>
    <x:row r="10">
      <x:c r="A10" t="n">
        <x:v>6</x:v>
      </x:c>
      <x:c r="B10" s="36" t="n">
        <x:f>ROI!$B$4/12</x:f>
        <x:v>55</x:v>
      </x:c>
      <x:c r="C10" s="28" t="n">
        <x:f>B10*ROI!$B$7*Supuestos!$B$9</x:f>
        <x:v>3957716.000000004</x:v>
      </x:c>
      <x:c r="D10" s="28" t="n">
        <x:f>B10*ROI!$B$8</x:f>
        <x:v>373333.3333333333</x:v>
      </x:c>
      <x:c r="E10" s="28" t="n">
        <x:f>Supuestos!$B$8</x:f>
        <x:v>650000</x:v>
      </x:c>
      <x:c r="F10" s="28" t="n">
        <x:f>IF(A10=1,ROI!$B$14,0)</x:f>
        <x:v>0</x:v>
      </x:c>
      <x:c r="G10" s="28" t="n">
        <x:f>C10+D10-E10-F10</x:f>
        <x:v>3681049.3333333377</x:v>
      </x:c>
      <x:c r="H10" s="28" t="n">
        <x:f>SUM($G$5:G10)</x:f>
        <x:v>-2913703.9999999776</x:v>
      </x:c>
    </x:row>
    <x:row r="11">
      <x:c r="A11" t="n">
        <x:v>7</x:v>
      </x:c>
      <x:c r="B11" s="36" t="n">
        <x:f>ROI!$B$4/12</x:f>
        <x:v>55</x:v>
      </x:c>
      <x:c r="C11" s="28" t="n">
        <x:f>B11*ROI!$B$7*Supuestos!$B$9</x:f>
        <x:v>3957716.000000004</x:v>
      </x:c>
      <x:c r="D11" s="28" t="n">
        <x:f>B11*ROI!$B$8</x:f>
        <x:v>373333.3333333333</x:v>
      </x:c>
      <x:c r="E11" s="28" t="n">
        <x:f>Supuestos!$B$8</x:f>
        <x:v>650000</x:v>
      </x:c>
      <x:c r="F11" s="28" t="n">
        <x:f>IF(A11=1,ROI!$B$14,0)</x:f>
        <x:v>0</x:v>
      </x:c>
      <x:c r="G11" s="28" t="n">
        <x:f>C11+D11-E11-F11</x:f>
        <x:v>3681049.3333333377</x:v>
      </x:c>
      <x:c r="H11" s="28" t="n">
        <x:f>SUM($G$5:G11)</x:f>
        <x:v>767345.33333336</x:v>
      </x:c>
    </x:row>
    <x:row r="12">
      <x:c r="A12" t="n">
        <x:v>8</x:v>
      </x:c>
      <x:c r="B12" s="36" t="n">
        <x:f>ROI!$B$4/12</x:f>
        <x:v>55</x:v>
      </x:c>
      <x:c r="C12" s="28" t="n">
        <x:f>B12*ROI!$B$7*Supuestos!$B$9</x:f>
        <x:v>3957716.000000004</x:v>
      </x:c>
      <x:c r="D12" s="28" t="n">
        <x:f>B12*ROI!$B$8</x:f>
        <x:v>373333.3333333333</x:v>
      </x:c>
      <x:c r="E12" s="28" t="n">
        <x:f>Supuestos!$B$8</x:f>
        <x:v>650000</x:v>
      </x:c>
      <x:c r="F12" s="28" t="n">
        <x:f>IF(A12=1,ROI!$B$14,0)</x:f>
        <x:v>0</x:v>
      </x:c>
      <x:c r="G12" s="28" t="n">
        <x:f>C12+D12-E12-F12</x:f>
        <x:v>3681049.3333333377</x:v>
      </x:c>
      <x:c r="H12" s="28" t="n">
        <x:f>SUM($G$5:G12)</x:f>
        <x:v>4448394.666666698</x:v>
      </x:c>
    </x:row>
    <x:row r="13">
      <x:c r="A13" t="n">
        <x:v>9</x:v>
      </x:c>
      <x:c r="B13" s="36" t="n">
        <x:f>ROI!$B$4/12</x:f>
        <x:v>55</x:v>
      </x:c>
      <x:c r="C13" s="28" t="n">
        <x:f>B13*ROI!$B$7*Supuestos!$B$9</x:f>
        <x:v>3957716.000000004</x:v>
      </x:c>
      <x:c r="D13" s="28" t="n">
        <x:f>B13*ROI!$B$8</x:f>
        <x:v>373333.3333333333</x:v>
      </x:c>
      <x:c r="E13" s="28" t="n">
        <x:f>Supuestos!$B$8</x:f>
        <x:v>650000</x:v>
      </x:c>
      <x:c r="F13" s="28" t="n">
        <x:f>IF(A13=1,ROI!$B$14,0)</x:f>
        <x:v>0</x:v>
      </x:c>
      <x:c r="G13" s="28" t="n">
        <x:f>C13+D13-E13-F13</x:f>
        <x:v>3681049.3333333377</x:v>
      </x:c>
      <x:c r="H13" s="28" t="n">
        <x:f>SUM($G$5:G13)</x:f>
        <x:v>8129444.000000035</x:v>
      </x:c>
    </x:row>
    <x:row r="14">
      <x:c r="A14" t="n">
        <x:v>10</x:v>
      </x:c>
      <x:c r="B14" s="36" t="n">
        <x:f>ROI!$B$4/12</x:f>
        <x:v>55</x:v>
      </x:c>
      <x:c r="C14" s="28" t="n">
        <x:f>B14*ROI!$B$7*Supuestos!$B$9</x:f>
        <x:v>3957716.000000004</x:v>
      </x:c>
      <x:c r="D14" s="28" t="n">
        <x:f>B14*ROI!$B$8</x:f>
        <x:v>373333.3333333333</x:v>
      </x:c>
      <x:c r="E14" s="28" t="n">
        <x:f>Supuestos!$B$8</x:f>
        <x:v>650000</x:v>
      </x:c>
      <x:c r="F14" s="28" t="n">
        <x:f>IF(A14=1,ROI!$B$14,0)</x:f>
        <x:v>0</x:v>
      </x:c>
      <x:c r="G14" s="28" t="n">
        <x:f>C14+D14-E14-F14</x:f>
        <x:v>3681049.3333333377</x:v>
      </x:c>
      <x:c r="H14" s="28" t="n">
        <x:f>SUM($G$5:G14)</x:f>
        <x:v>11810493.333333373</x:v>
      </x:c>
    </x:row>
    <x:row r="15">
      <x:c r="A15" t="n">
        <x:v>11</x:v>
      </x:c>
      <x:c r="B15" s="36" t="n">
        <x:f>ROI!$B$4/12</x:f>
        <x:v>55</x:v>
      </x:c>
      <x:c r="C15" s="28" t="n">
        <x:f>B15*ROI!$B$7*Supuestos!$B$9</x:f>
        <x:v>3957716.000000004</x:v>
      </x:c>
      <x:c r="D15" s="28" t="n">
        <x:f>B15*ROI!$B$8</x:f>
        <x:v>373333.3333333333</x:v>
      </x:c>
      <x:c r="E15" s="28" t="n">
        <x:f>Supuestos!$B$8</x:f>
        <x:v>650000</x:v>
      </x:c>
      <x:c r="F15" s="28" t="n">
        <x:f>IF(A15=1,ROI!$B$14,0)</x:f>
        <x:v>0</x:v>
      </x:c>
      <x:c r="G15" s="28" t="n">
        <x:f>C15+D15-E15-F15</x:f>
        <x:v>3681049.3333333377</x:v>
      </x:c>
      <x:c r="H15" s="28" t="n">
        <x:f>SUM($G$5:G15)</x:f>
        <x:v>15491542.66666671</x:v>
      </x:c>
    </x:row>
    <x:row r="16">
      <x:c r="A16" t="n">
        <x:v>12</x:v>
      </x:c>
      <x:c r="B16" s="36" t="n">
        <x:f>ROI!$B$4/12</x:f>
        <x:v>55</x:v>
      </x:c>
      <x:c r="C16" s="28" t="n">
        <x:f>B16*ROI!$B$7*Supuestos!$B$9</x:f>
        <x:v>3957716.000000004</x:v>
      </x:c>
      <x:c r="D16" s="28" t="n">
        <x:f>B16*ROI!$B$8</x:f>
        <x:v>373333.3333333333</x:v>
      </x:c>
      <x:c r="E16" s="28" t="n">
        <x:f>Supuestos!$B$8</x:f>
        <x:v>650000</x:v>
      </x:c>
      <x:c r="F16" s="28" t="n">
        <x:f>IF(A16=1,ROI!$B$14,0)</x:f>
        <x:v>0</x:v>
      </x:c>
      <x:c r="G16" s="28" t="n">
        <x:f>C16+D16-E16-F16</x:f>
        <x:v>3681049.3333333377</x:v>
      </x:c>
      <x:c r="H16" s="28" t="n">
        <x:f>SUM($G$5:G16)</x:f>
        <x:v>19172592.00000005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90a7b2fc19742f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64" hidden="0" customWidth="1"/>
    <x:col min="4" max="4" width="22" hidden="0" customWidth="1"/>
    <x:col min="5" max="5" width="30" hidden="0" customWidth="1"/>
    <x:col min="6" max="6" width="22" hidden="0" customWidth="1"/>
  </x:cols>
  <x:sheetData>
    <x:row r="1" ht="28" customHeight="1">
      <x:c r="A1" s="4" t="str">
        <x:v>CATÁLOGO Y ECUACIONES DE KPI</x:v>
      </x:c>
      <x:c r="B1" s="4"/>
      <x:c r="C1" s="4"/>
      <x:c r="D1" s="4"/>
      <x:c r="E1" s="4"/>
      <x:c r="F1" s="4"/>
    </x:row>
    <x:row r="3" ht="24" customHeight="1">
      <x:c r="A3" s="13" t="str">
        <x:v>ID</x:v>
      </x:c>
      <x:c r="B3" s="13" t="str">
        <x:v>KPI</x:v>
      </x:c>
      <x:c r="C3" s="13" t="str">
        <x:v>Fórmula</x:v>
      </x:c>
      <x:c r="D3" s="13" t="str">
        <x:v>Unidad</x:v>
      </x:c>
      <x:c r="E3" s="13" t="str">
        <x:v>Fuente</x:v>
      </x:c>
      <x:c r="F3" s="13" t="str">
        <x:v>Widget</x:v>
      </x:c>
    </x:row>
    <x:row r="4">
      <x:c r="A4" t="str">
        <x:v>KPI-01</x:v>
      </x:c>
      <x:c r="B4" t="str">
        <x:v>Horas humanas por caso</x:v>
      </x:c>
      <x:c r="C4" s="10" t="str">
        <x:v>SUM(horas_humanas) / COUNT(id_caso)</x:v>
      </x:c>
      <x:c r="D4" t="str">
        <x:v>horas/caso</x:v>
      </x:c>
      <x:c r="E4" t="str">
        <x:v>casos.csv; escenario</x:v>
      </x:c>
      <x:c r="F4" t="str">
        <x:v>Barra</x:v>
      </x:c>
    </x:row>
    <x:row r="5">
      <x:c r="A5" t="str">
        <x:v>KPI-02</x:v>
      </x:c>
      <x:c r="B5" t="str">
        <x:v>Tiempo ciclo</x:v>
      </x:c>
      <x:c r="C5" s="10" t="str">
        <x:v>SUM(horas_ciclo) / COUNT(id_caso)</x:v>
      </x:c>
      <x:c r="D5" t="str">
        <x:v>horas/caso</x:v>
      </x:c>
      <x:c r="E5" t="str">
        <x:v>casos.csv; mes</x:v>
      </x:c>
      <x:c r="F5" t="str">
        <x:v>Serie temporal</x:v>
      </x:c>
    </x:row>
    <x:row r="6">
      <x:c r="A6" t="str">
        <x:v>KPI-03</x:v>
      </x:c>
      <x:c r="B6" t="str">
        <x:v>Tasa error</x:v>
      </x:c>
      <x:c r="C6" s="10" t="str">
        <x:v>SUM(error) / COUNT(id_caso)</x:v>
      </x:c>
      <x:c r="D6" t="str">
        <x:v>%</x:v>
      </x:c>
      <x:c r="E6" t="str">
        <x:v>casos.csv; escenario</x:v>
      </x:c>
      <x:c r="F6" t="str">
        <x:v>Barra</x:v>
      </x:c>
    </x:row>
    <x:row r="7">
      <x:c r="A7" t="str">
        <x:v>KPI-04</x:v>
      </x:c>
      <x:c r="B7" t="str">
        <x:v>Tasa reproceso</x:v>
      </x:c>
      <x:c r="C7" s="10" t="str">
        <x:v>SUM(reproceso) / COUNT(id_caso)</x:v>
      </x:c>
      <x:c r="D7" t="str">
        <x:v>%</x:v>
      </x:c>
      <x:c r="E7" t="str">
        <x:v>casos.csv; escenario</x:v>
      </x:c>
      <x:c r="F7" t="str">
        <x:v>Barra</x:v>
      </x:c>
    </x:row>
    <x:row r="8">
      <x:c r="A8" t="str">
        <x:v>KPI-05</x:v>
      </x:c>
      <x:c r="B8" t="str">
        <x:v>Horas evitadas</x:v>
      </x:c>
      <x:c r="C8" s="10" t="str">
        <x:v>media horas ASIS - media horas TOBE</x:v>
      </x:c>
      <x:c r="D8" t="str">
        <x:v>horas/caso</x:v>
      </x:c>
      <x:c r="E8" t="str">
        <x:v>Comparacion!D5</x:v>
      </x:c>
      <x:c r="F8" t="str">
        <x:v>Big number</x:v>
      </x:c>
    </x:row>
    <x:row r="9">
      <x:c r="A9" t="str">
        <x:v>KPI-06</x:v>
      </x:c>
      <x:c r="B9" t="str">
        <x:v>ROI año 1</x:v>
      </x:c>
      <x:c r="C9" s="10" t="str">
        <x:v>(beneficios - opex - inversion) / (opex + inversion)</x:v>
      </x:c>
      <x:c r="D9" t="str">
        <x:v>%</x:v>
      </x:c>
      <x:c r="E9" t="str">
        <x:v>ROI!B16</x:v>
      </x:c>
      <x:c r="F9" t="str">
        <x:v>Big number</x:v>
      </x:c>
    </x:row>
    <x:row r="10">
      <x:c r="A10" t="str">
        <x:v>KPI-07</x:v>
      </x:c>
      <x:c r="B10" t="str">
        <x:v>Costo de error evitado</x:v>
      </x:c>
      <x:c r="C10" s="10" t="str">
        <x:v>volumen × diferencia en tasa_error × costo_error</x:v>
      </x:c>
      <x:c r="D10" t="str">
        <x:v>COP/año</x:v>
      </x:c>
      <x:c r="E10" t="str">
        <x:v>ROI!B11</x:v>
      </x:c>
      <x:c r="F10" t="str">
        <x:v>Big number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2" hidden="0" customWidth="1"/>
  </x:cols>
  <x:sheetData>
    <x:row r="1" ht="28" customHeight="1">
      <x:c r="A1" s="4" t="str">
        <x:v>MATRIZ DE PRIORIZACIÓN — HIPÓTESIS PARA CLASE</x:v>
      </x:c>
      <x:c r="B1" s="4"/>
      <x:c r="C1" s="4"/>
      <x:c r="D1" s="4"/>
      <x:c r="E1" s="4"/>
      <x:c r="F1" s="4"/>
      <x:c r="G1" s="4"/>
      <x:c r="H1" s="4"/>
    </x:row>
    <x:row r="3" ht="24" customHeight="1">
      <x:c r="A3" s="13" t="str">
        <x:v>Oportunidad</x:v>
      </x:c>
      <x:c r="B3" s="13" t="str">
        <x:v>Actividad BPMN</x:v>
      </x:c>
      <x:c r="C3" s="13" t="str">
        <x:v>Impacto 25%</x:v>
      </x:c>
      <x:c r="D3" s="13" t="str">
        <x:v>Volumen 20%</x:v>
      </x:c>
      <x:c r="E3" s="13" t="str">
        <x:v>Urgencia 15%</x:v>
      </x:c>
      <x:c r="F3" s="13" t="str">
        <x:v>Factibilidad 20%</x:v>
      </x:c>
      <x:c r="G3" s="13" t="str">
        <x:v>Mitigar riesgo 20%</x:v>
      </x:c>
      <x:c r="H3" s="13" t="str">
        <x:v>Puntuación / 5</x:v>
      </x:c>
    </x:row>
    <x:row r="4">
      <x:c r="A4" t="str">
        <x:v>Validar campos automáticamente</x:v>
      </x:c>
      <x:c r="B4" t="str">
        <x:v>Cotejo SOP</x:v>
      </x:c>
      <x:c r="C4" t="n">
        <x:v>5</x:v>
      </x:c>
      <x:c r="D4" t="n">
        <x:v>5</x:v>
      </x:c>
      <x:c r="E4" t="n">
        <x:v>4</x:v>
      </x:c>
      <x:c r="F4" t="n">
        <x:v>4</x:v>
      </x:c>
      <x:c r="G4" t="n">
        <x:v>4</x:v>
      </x:c>
      <x:c r="H4" t="n">
        <x:f>C4*$C$12+D4*$D$12+E4*$E$12+F4*$F$12+G4*$G$12</x:f>
        <x:v>4.45</x:v>
      </x:c>
    </x:row>
    <x:row r="5">
      <x:c r="A5" t="str">
        <x:v>Extraer documentos IDP</x:v>
      </x:c>
      <x:c r="B5" t="str">
        <x:v>Carga documental</x:v>
      </x:c>
      <x:c r="C5" t="n">
        <x:v>4</x:v>
      </x:c>
      <x:c r="D5" t="n">
        <x:v>4</x:v>
      </x:c>
      <x:c r="E5" t="n">
        <x:v>4</x:v>
      </x:c>
      <x:c r="F5" t="n">
        <x:v>3</x:v>
      </x:c>
      <x:c r="G5" t="n">
        <x:v>3</x:v>
      </x:c>
      <x:c r="H5" t="n">
        <x:f>C5*$C$12+D5*$D$12+E5*$E$12+F5*$F$12+G5*$G$12</x:f>
        <x:v>3.6</x:v>
      </x:c>
    </x:row>
    <x:row r="6">
      <x:c r="A6" t="str">
        <x:v>Notificar vencimiento por API</x:v>
      </x:c>
      <x:c r="B6" t="str">
        <x:v>Notificación</x:v>
      </x:c>
      <x:c r="C6" t="n">
        <x:v>4</x:v>
      </x:c>
      <x:c r="D6" t="n">
        <x:v>5</x:v>
      </x:c>
      <x:c r="E6" t="n">
        <x:v>4</x:v>
      </x:c>
      <x:c r="F6" t="n">
        <x:v>5</x:v>
      </x:c>
      <x:c r="G6" t="n">
        <x:v>4</x:v>
      </x:c>
      <x:c r="H6" t="n">
        <x:f>C6*$C$12+D6*$D$12+E6*$E$12+F6*$F$12+G6*$G$12</x:f>
        <x:v>4.4</x:v>
      </x:c>
    </x:row>
    <x:row r="7">
      <x:c r="A7" t="str">
        <x:v>Aprobar caso complejo sin humano</x:v>
      </x:c>
      <x:c r="B7" t="str">
        <x:v>Revisión superior</x:v>
      </x:c>
      <x:c r="C7" t="n">
        <x:v>3</x:v>
      </x:c>
      <x:c r="D7" t="n">
        <x:v>2</x:v>
      </x:c>
      <x:c r="E7" t="n">
        <x:v>2</x:v>
      </x:c>
      <x:c r="F7" t="n">
        <x:v>1</x:v>
      </x:c>
      <x:c r="G7" t="n">
        <x:v>1</x:v>
      </x:c>
      <x:c r="H7" t="n">
        <x:f>C7*$C$12+D7*$D$12+E7*$E$12+F7*$F$12+G7*$G$12</x:f>
        <x:v>1.8499999999999999</x:v>
      </x:c>
    </x:row>
    <x:row r="9">
      <x:c r="A9" s="34" t="str">
        <x:v>Pesos y puntuaciones son ejemplos docentes; comprobar riesgo residual y restricciones legales antes de elegir.</x:v>
      </x:c>
      <x:c r="B9" s="34"/>
      <x:c r="C9" s="34"/>
      <x:c r="D9" s="34"/>
      <x:c r="E9" s="34"/>
      <x:c r="F9" s="34"/>
      <x:c r="G9" s="34"/>
      <x:c r="H9" s="34"/>
    </x:row>
    <x:row r="12">
      <x:c r="A12" t="str">
        <x:v>PESOS EDITABLES</x:v>
      </x:c>
      <x:c r="C12" s="20" t="n">
        <x:v>0.25</x:v>
      </x:c>
      <x:c r="D12" s="20" t="n">
        <x:v>0.2</x:v>
      </x:c>
      <x:c r="E12" s="20" t="n">
        <x:v>0.15</x:v>
      </x:c>
      <x:c r="F12" s="20" t="n">
        <x:v>0.2</x:v>
      </x:c>
      <x:c r="G12" s="20" t="n">
        <x:v>0.2</x:v>
      </x:c>
      <x:c r="H12" s="30" t="n">
        <x:f>SUM(C12:G12)</x:f>
        <x:v>1</x:v>
      </x:c>
    </x:row>
  </x:sheetData>
  <x:mergeCells>
    <x:mergeCell ref="A1:H1"/>
    <x:mergeCell ref="A9:H9"/>
  </x:mergeCells>
  <x:pageMargins left="0.7" right="0.7" top="0.75" bottom="0.75" header="0.3" footer="0.3"/>
</x:worksheet>
</file>