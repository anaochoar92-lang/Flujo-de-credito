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CHOA\Documents\Proyecto preaprobado\taller-opencode-bpmn\trabajos\mi-proceso\12-roi\"/>
    </mc:Choice>
  </mc:AlternateContent>
  <xr:revisionPtr revIDLastSave="0" documentId="8_{CD8BE77C-E5CA-4B5E-9CCA-6F4676A70ADA}" xr6:coauthVersionLast="47" xr6:coauthVersionMax="47" xr10:uidLastSave="{00000000-0000-0000-0000-000000000000}"/>
  <bookViews>
    <workbookView xWindow="-108" yWindow="-108" windowWidth="23256" windowHeight="12456" activeTab="1" xr2:uid="{C1A5622F-C692-4E0F-9B0F-4B3711E0A6ED}"/>
  </bookViews>
  <sheets>
    <sheet name="LEEME" sheetId="1" r:id="rId1"/>
    <sheet name="Opciones" sheetId="2" r:id="rId2"/>
    <sheet name="ROI" sheetId="3" r:id="rId3"/>
    <sheet name="Supuestos" sheetId="4" r:id="rId4"/>
    <sheet name="Conteos" sheetId="5" r:id="rId5"/>
    <sheet name="FlujoMensu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2" l="1"/>
  <c r="C13" i="2"/>
  <c r="B13" i="2"/>
  <c r="D12" i="2"/>
  <c r="D14" i="2" s="1"/>
  <c r="C12" i="2"/>
  <c r="C14" i="2" s="1"/>
  <c r="B12" i="2"/>
  <c r="B14" i="2" s="1"/>
  <c r="E7" i="2"/>
  <c r="E6" i="2"/>
  <c r="E12" i="2" s="1"/>
  <c r="E5" i="2"/>
  <c r="E4" i="2"/>
  <c r="E13" i="2" s="1"/>
  <c r="H16" i="6"/>
  <c r="D16" i="6"/>
  <c r="C16" i="6"/>
  <c r="E16" i="6" s="1"/>
  <c r="B16" i="6"/>
  <c r="A16" i="6"/>
  <c r="H15" i="6"/>
  <c r="D15" i="6"/>
  <c r="C15" i="6"/>
  <c r="E15" i="6" s="1"/>
  <c r="B15" i="6"/>
  <c r="A15" i="6"/>
  <c r="H14" i="6"/>
  <c r="D14" i="6"/>
  <c r="C14" i="6"/>
  <c r="E14" i="6" s="1"/>
  <c r="B14" i="6"/>
  <c r="A14" i="6"/>
  <c r="H13" i="6"/>
  <c r="D13" i="6"/>
  <c r="C13" i="6"/>
  <c r="E13" i="6" s="1"/>
  <c r="B13" i="6"/>
  <c r="A13" i="6"/>
  <c r="H12" i="6"/>
  <c r="D12" i="6"/>
  <c r="C12" i="6"/>
  <c r="E12" i="6" s="1"/>
  <c r="B12" i="6"/>
  <c r="A12" i="6"/>
  <c r="H11" i="6"/>
  <c r="D11" i="6"/>
  <c r="C11" i="6"/>
  <c r="E11" i="6" s="1"/>
  <c r="B11" i="6"/>
  <c r="A11" i="6"/>
  <c r="H10" i="6"/>
  <c r="D10" i="6"/>
  <c r="C10" i="6"/>
  <c r="E10" i="6" s="1"/>
  <c r="B10" i="6"/>
  <c r="A10" i="6"/>
  <c r="H9" i="6"/>
  <c r="D9" i="6"/>
  <c r="C9" i="6"/>
  <c r="E9" i="6" s="1"/>
  <c r="B9" i="6"/>
  <c r="A9" i="6"/>
  <c r="H8" i="6"/>
  <c r="D8" i="6"/>
  <c r="C8" i="6"/>
  <c r="E8" i="6" s="1"/>
  <c r="B8" i="6"/>
  <c r="A8" i="6"/>
  <c r="H7" i="6"/>
  <c r="D7" i="6"/>
  <c r="C7" i="6"/>
  <c r="E7" i="6" s="1"/>
  <c r="B7" i="6"/>
  <c r="A7" i="6"/>
  <c r="H6" i="6"/>
  <c r="D6" i="6"/>
  <c r="C6" i="6"/>
  <c r="E6" i="6" s="1"/>
  <c r="B6" i="6"/>
  <c r="A6" i="6"/>
  <c r="H5" i="6"/>
  <c r="D5" i="6"/>
  <c r="C5" i="6"/>
  <c r="E5" i="6" s="1"/>
  <c r="B5" i="6"/>
  <c r="A5" i="6"/>
  <c r="J4" i="6"/>
  <c r="K4" i="6" s="1"/>
  <c r="E28" i="3"/>
  <c r="D28" i="3"/>
  <c r="C28" i="3"/>
  <c r="E20" i="3"/>
  <c r="D20" i="3"/>
  <c r="C20" i="3"/>
  <c r="E16" i="3"/>
  <c r="E17" i="3" s="1"/>
  <c r="D16" i="3"/>
  <c r="D17" i="3" s="1"/>
  <c r="C16" i="3"/>
  <c r="C17" i="3" s="1"/>
  <c r="E12" i="3"/>
  <c r="D12" i="3"/>
  <c r="C12" i="3"/>
  <c r="E11" i="3"/>
  <c r="E13" i="3" s="1"/>
  <c r="E14" i="3" s="1"/>
  <c r="E15" i="3" s="1"/>
  <c r="D11" i="3"/>
  <c r="D13" i="3" s="1"/>
  <c r="D14" i="3" s="1"/>
  <c r="C11" i="3"/>
  <c r="C13" i="3" s="1"/>
  <c r="C14" i="3" s="1"/>
  <c r="C15" i="3" s="1"/>
  <c r="E6" i="3"/>
  <c r="D6" i="3"/>
  <c r="C6" i="3"/>
  <c r="E5" i="3"/>
  <c r="E7" i="3" s="1"/>
  <c r="D5" i="3"/>
  <c r="D7" i="3" s="1"/>
  <c r="C5" i="3"/>
  <c r="C7" i="3" s="1"/>
  <c r="E22" i="4"/>
  <c r="E18" i="3" s="1"/>
  <c r="D22" i="4"/>
  <c r="C22" i="4"/>
  <c r="C18" i="3" s="1"/>
  <c r="E8" i="4"/>
  <c r="D8" i="4"/>
  <c r="C8" i="4"/>
  <c r="G16" i="6" l="1"/>
  <c r="F16" i="6"/>
  <c r="G15" i="6"/>
  <c r="F15" i="6"/>
  <c r="G14" i="6"/>
  <c r="F14" i="6"/>
  <c r="G13" i="6"/>
  <c r="F13" i="6"/>
  <c r="G12" i="6"/>
  <c r="F12" i="6"/>
  <c r="F11" i="6"/>
  <c r="G11" i="6"/>
  <c r="G10" i="6"/>
  <c r="F10" i="6"/>
  <c r="G9" i="6"/>
  <c r="F9" i="6"/>
  <c r="G8" i="6"/>
  <c r="F8" i="6"/>
  <c r="G7" i="6"/>
  <c r="F7" i="6"/>
  <c r="G6" i="6"/>
  <c r="F6" i="6"/>
  <c r="G5" i="6"/>
  <c r="F5" i="6"/>
  <c r="D15" i="3"/>
  <c r="B10" i="2"/>
  <c r="C10" i="2"/>
  <c r="D10" i="2"/>
  <c r="E10" i="2"/>
  <c r="E8" i="3"/>
  <c r="E9" i="3"/>
  <c r="D8" i="3"/>
  <c r="D9" i="3"/>
  <c r="C8" i="3"/>
  <c r="C9" i="3"/>
  <c r="I7" i="6"/>
  <c r="I16" i="6"/>
  <c r="I10" i="6"/>
  <c r="D18" i="3"/>
  <c r="D19" i="3" s="1"/>
  <c r="I9" i="6"/>
  <c r="I11" i="6"/>
  <c r="I6" i="6"/>
  <c r="I12" i="6"/>
  <c r="I8" i="6"/>
  <c r="I13" i="6"/>
  <c r="I14" i="6"/>
  <c r="I15" i="6"/>
  <c r="I5" i="6"/>
  <c r="E14" i="2"/>
  <c r="E19" i="3"/>
  <c r="C19" i="3"/>
  <c r="E21" i="3" l="1"/>
  <c r="E26" i="3"/>
  <c r="D21" i="3"/>
  <c r="D26" i="3"/>
  <c r="B9" i="2"/>
  <c r="B11" i="2" s="1"/>
  <c r="C9" i="2"/>
  <c r="C11" i="2" s="1"/>
  <c r="D9" i="2"/>
  <c r="D11" i="2" s="1"/>
  <c r="E9" i="2"/>
  <c r="E11" i="2" s="1"/>
  <c r="C21" i="3"/>
  <c r="C26" i="3"/>
  <c r="J16" i="6"/>
  <c r="J15" i="6"/>
  <c r="J14" i="6"/>
  <c r="J13" i="6"/>
  <c r="J12" i="6"/>
  <c r="J11" i="6"/>
  <c r="J10" i="6"/>
  <c r="J9" i="6"/>
  <c r="J8" i="6"/>
  <c r="J7" i="6"/>
  <c r="J6" i="6"/>
  <c r="J5" i="6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E22" i="3" l="1"/>
  <c r="E24" i="3" s="1"/>
  <c r="E23" i="3"/>
  <c r="D22" i="3"/>
  <c r="D24" i="3" s="1"/>
  <c r="D23" i="3"/>
  <c r="B15" i="2"/>
  <c r="B17" i="2" s="1"/>
  <c r="B16" i="2"/>
  <c r="C15" i="2"/>
  <c r="C17" i="2" s="1"/>
  <c r="C16" i="2"/>
  <c r="D15" i="2"/>
  <c r="D17" i="2" s="1"/>
  <c r="D16" i="2"/>
  <c r="E15" i="2"/>
  <c r="E17" i="2" s="1"/>
  <c r="E16" i="2"/>
  <c r="C22" i="3"/>
  <c r="C24" i="3" s="1"/>
  <c r="C23" i="3"/>
</calcChain>
</file>

<file path=xl/sharedStrings.xml><?xml version="1.0" encoding="utf-8"?>
<sst xmlns="http://schemas.openxmlformats.org/spreadsheetml/2006/main" count="262" uniqueCount="164">
  <si>
    <t>Modelo de ROI - Flujo de crédito preaprobado Expomóvil (SINTÉTICO)</t>
  </si>
  <si>
    <t>Datos SINTÉTICOS (09-datos, semilla 20261024). Un ROI sintético NO valida una inversión.</t>
  </si>
  <si>
    <t>Moneda: pesos dominicanos (RD$). Celdas amarillas de la hoja Supuestos = editables.</t>
  </si>
  <si>
    <t>MODELO ADOPTADO = Opción 3 (ronda 12): versión mínima del portal sobre Camunda, cliente entrega originales en sucursal (sin mensajero) y el tiempo liberado fuera de feria se convierte en caja (no reponer puestos).</t>
  </si>
  <si>
    <t>Hoja Opciones: compara el modelo original con las opciones 1, 2 y 3 (escenario base). Hojas ROI y FlujoMensual: modelo adoptado.</t>
  </si>
  <si>
    <t>Caja = menos personal temporal en feria (ROI-4) + tiempo liberado convertido en caja (% editable en Supuestos, fila 24).</t>
  </si>
  <si>
    <t>ROI año 1 = (beneficio en caja - opex - inversión) / (opex + inversión). Opex = mensajero (si aplica) + mantenimiento.</t>
  </si>
  <si>
    <t>Beneficio NO incluido: créditos que dejan de perderse por vencimiento (ver ROI, fila 28). Falta el margen por crédito.</t>
  </si>
  <si>
    <t>Regenerar: node trabajos/mi-proceso/12-roi/conteos.js y luego este script (crear_excel_roi.ps1).</t>
  </si>
  <si>
    <t>Supuestos (editar celdas amarillas)</t>
  </si>
  <si>
    <t>Variable</t>
  </si>
  <si>
    <t>Unidad</t>
  </si>
  <si>
    <t>Conservador</t>
  </si>
  <si>
    <t>Base</t>
  </si>
  <si>
    <t>Optimista</t>
  </si>
  <si>
    <t>Estado / fuente</t>
  </si>
  <si>
    <t>Salario mínimo mensual (empresa grande)</t>
  </si>
  <si>
    <t>RD$/mes</t>
  </si>
  <si>
    <t>Declarado (ROI-1). Res. CNS-01-2025, vigente desde 01-02-2026</t>
  </si>
  <si>
    <t>Factor de costo del empleador</t>
  </si>
  <si>
    <t>x</t>
  </si>
  <si>
    <t>SUPUESTO S-1: TSS empleador ~16 % + regalía pascual 8,3 %</t>
  </si>
  <si>
    <t>Días laborables por mes</t>
  </si>
  <si>
    <t>días</t>
  </si>
  <si>
    <t>Práctica laboral RD</t>
  </si>
  <si>
    <t>Horas por día</t>
  </si>
  <si>
    <t>h</t>
  </si>
  <si>
    <t>Declarado (ROI-2)</t>
  </si>
  <si>
    <t>ACT_006 Recopilar expediente (Legal)</t>
  </si>
  <si>
    <t>h/ejecución</t>
  </si>
  <si>
    <t>HIPÓTESIS H-R1: horas de trabajo real por expediente</t>
  </si>
  <si>
    <t>ACT_007 Escanear documentación (Legal)</t>
  </si>
  <si>
    <t>HIPÓTESIS H-R1</t>
  </si>
  <si>
    <t>ACT_008 Verificar expediente en papel (Despacho)</t>
  </si>
  <si>
    <t>TB_ACT_VERIF Verificar expediente digital (Despacho)</t>
  </si>
  <si>
    <t>TB_ACT_PEDIR Pedir documento corregido (Despacho)</t>
  </si>
  <si>
    <t>TB_ACT_RECOP_ORIG Recopilar originales (Legal)</t>
  </si>
  <si>
    <t>TB_ACT_ESCANEAR Escanear originales (Legal)</t>
  </si>
  <si>
    <t>Costo por recogida del mensajero certificado</t>
  </si>
  <si>
    <t>RD$/recogida</t>
  </si>
  <si>
    <t>SUPUESTO S-2 (solo si hay mensajero, fila 23)</t>
  </si>
  <si>
    <t>Inversión inicial: versión mínima del portal sobre Camunda</t>
  </si>
  <si>
    <t>RD$</t>
  </si>
  <si>
    <t>SUPUESTO S-3b (Opción 3, ronda 12)</t>
  </si>
  <si>
    <t>Mantenimiento anual (% de la inversión)</t>
  </si>
  <si>
    <t>%</t>
  </si>
  <si>
    <t>SUPUESTO S-4b (Opción 3)</t>
  </si>
  <si>
    <t>¿Mensajero a domicilio? (1 = sí, 0 = cliente entrega en sucursal)</t>
  </si>
  <si>
    <t>Decisión Opción 1 (ronda 12)</t>
  </si>
  <si>
    <t>% del tiempo liberado fuera de feria que se convierte en caja</t>
  </si>
  <si>
    <t>Decisión Opción 2 (ronda 12): no reponer puestos; SUPUESTO S-5 en conservador</t>
  </si>
  <si>
    <t>Horas de trabajo por ejecución de cada actividad</t>
  </si>
  <si>
    <t>Costo por hora</t>
  </si>
  <si>
    <t>RD$/h</t>
  </si>
  <si>
    <t>Fórmula</t>
  </si>
  <si>
    <t>Mantenimiento anual</t>
  </si>
  <si>
    <t>RD$/año</t>
  </si>
  <si>
    <t>Ejecuciones de actividades por mes y escenario (desde 09-datos, SINTÉTICO)</t>
  </si>
  <si>
    <t>mes</t>
  </si>
  <si>
    <t>temporada</t>
  </si>
  <si>
    <t>escenario</t>
  </si>
  <si>
    <t>ACT_006</t>
  </si>
  <si>
    <t>ACT_007</t>
  </si>
  <si>
    <t>ACT_008</t>
  </si>
  <si>
    <t>TB_ACT_VERIF</t>
  </si>
  <si>
    <t>TB_ACT_PEDIR</t>
  </si>
  <si>
    <t>TB_ACT_RECOP_ORIG</t>
  </si>
  <si>
    <t>TB_ACT_ESCANEAR</t>
  </si>
  <si>
    <t>TB_ACT_RECOGER</t>
  </si>
  <si>
    <t>entraron_expediente</t>
  </si>
  <si>
    <t>cerradas_vencimiento</t>
  </si>
  <si>
    <t>sobres_enviados</t>
  </si>
  <si>
    <t>2026-01</t>
  </si>
  <si>
    <t>no feria</t>
  </si>
  <si>
    <t>AS-IS</t>
  </si>
  <si>
    <t>TO-BE</t>
  </si>
  <si>
    <t>2026-02</t>
  </si>
  <si>
    <t>feria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</si>
  <si>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</si>
  <si>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</si>
  <si>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</si>
  <si>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</si>
  <si>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</si>
  <si>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</si>
  <si>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</si>
  <si>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</si>
  <si>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</si>
  <si>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</si>
  <si>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ROI del modelo adoptado (Opción 3): tres escenarios de sensibilidad (año 1)</t>
  </si>
  <si>
    <t>Concepto</t>
  </si>
  <si>
    <t>Cómo se calcula</t>
  </si>
  <si>
    <t>Horas de Legal y Despacho AS-IS, meses de feria</t>
  </si>
  <si>
    <t>h/año</t>
  </si>
  <si>
    <t>Ejecuciones x horas por ejecución</t>
  </si>
  <si>
    <t>Horas de Legal y Despacho TO-BE, meses de feria</t>
  </si>
  <si>
    <t>Ídem</t>
  </si>
  <si>
    <t>Horas ahorradas en feria</t>
  </si>
  <si>
    <t>AS-IS - TO-BE</t>
  </si>
  <si>
    <t>Personal temporal evitado en feria</t>
  </si>
  <si>
    <t>personas-mes</t>
  </si>
  <si>
    <t>Horas / (días x horas por persona)</t>
  </si>
  <si>
    <t>AHORRO EN CAJA: menos temporales en feria</t>
  </si>
  <si>
    <t>Horas ahorradas en feria x costo hora (ROI-4)</t>
  </si>
  <si>
    <t>Horas AS-IS, meses sin feria</t>
  </si>
  <si>
    <t>Horas TO-BE, meses sin feria</t>
  </si>
  <si>
    <t>Horas liberadas fuera de feria</t>
  </si>
  <si>
    <t>Capacidad, no caja</t>
  </si>
  <si>
    <t>Valor del tiempo liberado fuera de feria</t>
  </si>
  <si>
    <t>Horas liberadas x costo hora</t>
  </si>
  <si>
    <t>AHORRO EN CAJA: tiempo liberado convertido (no reponer puestos)</t>
  </si>
  <si>
    <t>Opción 2: valor x % convertido</t>
  </si>
  <si>
    <t>Recogidas a domicilio</t>
  </si>
  <si>
    <t>recogidas/año</t>
  </si>
  <si>
    <t>TB_ACT_RECOGER; 0 si el cliente entrega en sucursal (Opción 1)</t>
  </si>
  <si>
    <t>Costo del mensajero certificado</t>
  </si>
  <si>
    <t>Recogidas x costo por recogida</t>
  </si>
  <si>
    <t>Mantenimiento del portal</t>
  </si>
  <si>
    <t>Opex año 1</t>
  </si>
  <si>
    <t>Mensajero + mantenimiento</t>
  </si>
  <si>
    <t>Inversión inicial (versión mínima)</t>
  </si>
  <si>
    <t>Opción 3</t>
  </si>
  <si>
    <t>Beneficio total en caja</t>
  </si>
  <si>
    <t>Temporales en feria + tiempo convertido</t>
  </si>
  <si>
    <t>Beneficio neto operativo anual (caja)</t>
  </si>
  <si>
    <t>Beneficio en caja - opex</t>
  </si>
  <si>
    <t>ROI año 1 (caja)</t>
  </si>
  <si>
    <t>(beneficio - opex - inversión) / (opex + inversión)</t>
  </si>
  <si>
    <t>Meses de recuperación</t>
  </si>
  <si>
    <t>meses</t>
  </si>
  <si>
    <t>Inversión / beneficio neto mensual</t>
  </si>
  <si>
    <t>ROI año 1 sin convertir el tiempo liberado en caja (referencia)</t>
  </si>
  <si>
    <t>Si no se ejecuta la Opción 2</t>
  </si>
  <si>
    <t>NO INCLUIDO: créditos que dejan de perderse por vencimiento</t>
  </si>
  <si>
    <t>créditos/año</t>
  </si>
  <si>
    <t>Falta el margen por crédito para monetizarlo</t>
  </si>
  <si>
    <t>Flujo mensual - modelo adoptado (Opción 3), escenario BASE (RD$)</t>
  </si>
  <si>
    <t>Horas AS-IS</t>
  </si>
  <si>
    <t>Horas TO-BE</t>
  </si>
  <si>
    <t>Horas ahorradas</t>
  </si>
  <si>
    <t>Ahorro temporales (feria)</t>
  </si>
  <si>
    <t>Tiempo convertido en caja</t>
  </si>
  <si>
    <t>Mensajero</t>
  </si>
  <si>
    <t>Mantenimiento</t>
  </si>
  <si>
    <t>Neto en caja</t>
  </si>
  <si>
    <t>Acumulado</t>
  </si>
  <si>
    <t>Mes 0</t>
  </si>
  <si>
    <t>inversión</t>
  </si>
  <si>
    <t>Opciones para subir el ROI (escenario base, año 1) - ronda 12</t>
  </si>
  <si>
    <t>Modelo original</t>
  </si>
  <si>
    <t>Opción 1: sin mensajero</t>
  </si>
  <si>
    <t>Opción 2: + tiempo en caja</t>
  </si>
  <si>
    <t>Opción 3: + versión mínima (ADOPTADA)</t>
  </si>
  <si>
    <t>Nota</t>
  </si>
  <si>
    <t>Inversión inicial (RD$)</t>
  </si>
  <si>
    <t>Portal completo vs versión mínima sobre Camunda</t>
  </si>
  <si>
    <t>¿Mensajero a domicilio? (1/0)</t>
  </si>
  <si>
    <t>Opción 1: el cliente entrega los originales en sucursal o en la feria</t>
  </si>
  <si>
    <t>% del tiempo liberado que se convierte en caja</t>
  </si>
  <si>
    <t>Opción 2: no reponer ~2,7 puestos fuera de feria</t>
  </si>
  <si>
    <t>Ahorro temporales en feria</t>
  </si>
  <si>
    <t>Tiempo liberado convertido en caja</t>
  </si>
  <si>
    <t>Opex</t>
  </si>
  <si>
    <t>Beneficio neto anual (caja)</t>
  </si>
  <si>
    <t>La columna de la Opción 3 toma sus valores de la hoja Supuestos (columna Base). Las columnas B a D son editables.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</si>
</sst>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D$&quot;\ #,##0"/>
    <numFmt numFmtId="165" formatCode="&quot;RD$&quot;\ #,##0.00"/>
    <numFmt numFmtId="166" formatCode="0.0%"/>
    <numFmt numFmtId="167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DBE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3" borderId="0" xfId="0" applyFill="1"/>
    <xf numFmtId="17" fontId="0" fillId="0" borderId="0" xfId="0" applyNumberFormat="1"/>
    <xf numFmtId="164" fontId="0" fillId="3" borderId="0" xfId="0" applyNumberFormat="1" applyFill="1"/>
    <xf numFmtId="165" fontId="0" fillId="0" borderId="0" xfId="0" applyNumberFormat="1"/>
    <xf numFmtId="166" fontId="0" fillId="3" borderId="0" xfId="0" applyNumberFormat="1" applyFill="1"/>
    <xf numFmtId="164" fontId="0" fillId="0" borderId="0" xfId="0" applyNumberFormat="1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4" borderId="0" xfId="0" applyFont="1" applyFill="1"/>
    <xf numFmtId="164" fontId="0" fillId="4" borderId="0" xfId="0" applyNumberFormat="1" applyFill="1"/>
    <xf numFmtId="166" fontId="0" fillId="4" borderId="0" xfId="0" applyNumberFormat="1" applyFill="1"/>
    <xf numFmtId="0" fontId="0" fillId="4" borderId="0" xfId="0" applyFill="1"/>
    <xf numFmtId="164" fontId="1" fillId="4" borderId="0" xfId="0" applyNumberFormat="1" applyFont="1" applyFill="1"/>
    <xf numFmtId="166" fontId="1" fillId="4" borderId="0" xfId="0" applyNumberFormat="1" applyFont="1" applyFill="1"/>
    <xf numFmtId="167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B361-1192-44C4-89D9-02E4374A6B3C}">
  <dimension ref="A1:A10"/>
  <sheetViews>
    <sheetView workbookViewId="0"/>
  </sheetViews>
  <sheetFormatPr baseColWidth="10" defaultRowHeight="14.4" x14ac:dyDescent="0.3"/>
  <cols>
    <col min="1" max="1" width="120.77734375" customWidth="1"/>
  </cols>
  <sheetData>
    <row r="1" spans="1:1" ht="18" x14ac:dyDescent="0.35">
      <c r="A1" s="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26E5-5D32-4FF2-95B5-8EFF4BC8CAF8}">
  <dimension ref="A1:F19"/>
  <sheetViews>
    <sheetView tabSelected="1" workbookViewId="0"/>
  </sheetViews>
  <sheetFormatPr baseColWidth="10" defaultRowHeight="14.4" x14ac:dyDescent="0.3"/>
  <cols>
    <col min="1" max="1" width="46.77734375" customWidth="1"/>
    <col min="2" max="2" width="13.6640625" bestFit="1" customWidth="1"/>
    <col min="3" max="3" width="20.88671875" bestFit="1" customWidth="1"/>
    <col min="4" max="4" width="23" bestFit="1" customWidth="1"/>
    <col min="5" max="5" width="34.5546875" bestFit="1" customWidth="1"/>
    <col min="6" max="6" width="53.33203125" bestFit="1" customWidth="1"/>
  </cols>
  <sheetData>
    <row r="1" spans="1:6" ht="18" x14ac:dyDescent="0.35">
      <c r="A1" s="2" t="s">
        <v>147</v>
      </c>
    </row>
    <row r="3" spans="1:6" x14ac:dyDescent="0.3">
      <c r="A3" s="3" t="s">
        <v>89</v>
      </c>
      <c r="B3" s="3" t="s">
        <v>148</v>
      </c>
      <c r="C3" s="3" t="s">
        <v>149</v>
      </c>
      <c r="D3" s="3" t="s">
        <v>150</v>
      </c>
      <c r="E3" s="17" t="s">
        <v>151</v>
      </c>
      <c r="F3" s="3" t="s">
        <v>152</v>
      </c>
    </row>
    <row r="4" spans="1:6" x14ac:dyDescent="0.3">
      <c r="A4" t="s">
        <v>153</v>
      </c>
      <c r="B4" s="6">
        <v>3500000</v>
      </c>
      <c r="C4" s="6">
        <v>3500000</v>
      </c>
      <c r="D4" s="6">
        <v>3500000</v>
      </c>
      <c r="E4" s="18">
        <f>Supuestos!D20</f>
        <v>1000000</v>
      </c>
      <c r="F4" t="s">
        <v>154</v>
      </c>
    </row>
    <row r="5" spans="1:6" x14ac:dyDescent="0.3">
      <c r="A5" t="s">
        <v>44</v>
      </c>
      <c r="B5" s="8">
        <v>0.2</v>
      </c>
      <c r="C5" s="8">
        <v>0.2</v>
      </c>
      <c r="D5" s="8">
        <v>0.2</v>
      </c>
      <c r="E5" s="19">
        <f>Supuestos!D21</f>
        <v>0.15</v>
      </c>
    </row>
    <row r="6" spans="1:6" x14ac:dyDescent="0.3">
      <c r="A6" t="s">
        <v>155</v>
      </c>
      <c r="B6" s="4">
        <v>1</v>
      </c>
      <c r="C6" s="4">
        <v>0</v>
      </c>
      <c r="D6" s="4">
        <v>0</v>
      </c>
      <c r="E6" s="20">
        <f>Supuestos!D23</f>
        <v>0</v>
      </c>
      <c r="F6" t="s">
        <v>156</v>
      </c>
    </row>
    <row r="7" spans="1:6" x14ac:dyDescent="0.3">
      <c r="A7" t="s">
        <v>157</v>
      </c>
      <c r="B7" s="8">
        <v>0</v>
      </c>
      <c r="C7" s="8">
        <v>0</v>
      </c>
      <c r="D7" s="8">
        <v>1</v>
      </c>
      <c r="E7" s="19">
        <f>Supuestos!D24</f>
        <v>1</v>
      </c>
      <c r="F7" t="s">
        <v>158</v>
      </c>
    </row>
    <row r="8" spans="1:6" x14ac:dyDescent="0.3">
      <c r="E8" s="20"/>
    </row>
    <row r="9" spans="1:6" x14ac:dyDescent="0.3">
      <c r="A9" t="s">
        <v>159</v>
      </c>
      <c r="B9" s="9">
        <f>ROI!$D$9</f>
        <v>351618.50215065043</v>
      </c>
      <c r="C9" s="9">
        <f>ROI!$D$9</f>
        <v>351618.50215065043</v>
      </c>
      <c r="D9" s="9">
        <f>ROI!$D$9</f>
        <v>351618.50215065043</v>
      </c>
      <c r="E9" s="18">
        <f>ROI!$D$9</f>
        <v>351618.50215065043</v>
      </c>
    </row>
    <row r="10" spans="1:6" x14ac:dyDescent="0.3">
      <c r="A10" t="s">
        <v>160</v>
      </c>
      <c r="B10" s="9">
        <f>ROI!$D$14*B7</f>
        <v>0</v>
      </c>
      <c r="C10" s="9">
        <f>ROI!$D$14*C7</f>
        <v>0</v>
      </c>
      <c r="D10" s="9">
        <f>ROI!$D$14*D7</f>
        <v>1022166.2426563156</v>
      </c>
      <c r="E10" s="18">
        <f>ROI!$D$14*E7</f>
        <v>1022166.2426563156</v>
      </c>
    </row>
    <row r="11" spans="1:6" x14ac:dyDescent="0.3">
      <c r="A11" s="1" t="s">
        <v>121</v>
      </c>
      <c r="B11" s="14">
        <f>B9+B10</f>
        <v>351618.50215065043</v>
      </c>
      <c r="C11" s="14">
        <f>C9+C10</f>
        <v>351618.50215065043</v>
      </c>
      <c r="D11" s="14">
        <f>D9+D10</f>
        <v>1373784.744806966</v>
      </c>
      <c r="E11" s="21">
        <f>E9+E10</f>
        <v>1373784.744806966</v>
      </c>
    </row>
    <row r="12" spans="1:6" x14ac:dyDescent="0.3">
      <c r="A12" t="s">
        <v>141</v>
      </c>
      <c r="B12" s="9">
        <f>SUMPRODUCT((Conteos!$C$4:$C$27="TO-BE")*Conteos!$K$4:$K$27)*Supuestos!$D$19*B6</f>
        <v>1020000</v>
      </c>
      <c r="C12" s="9">
        <f>SUMPRODUCT((Conteos!$C$4:$C$27="TO-BE")*Conteos!$K$4:$K$27)*Supuestos!$D$19*C6</f>
        <v>0</v>
      </c>
      <c r="D12" s="9">
        <f>SUMPRODUCT((Conteos!$C$4:$C$27="TO-BE")*Conteos!$K$4:$K$27)*Supuestos!$D$19*D6</f>
        <v>0</v>
      </c>
      <c r="E12" s="18">
        <f>SUMPRODUCT((Conteos!$C$4:$C$27="TO-BE")*Conteos!$K$4:$K$27)*Supuestos!$D$19*E6</f>
        <v>0</v>
      </c>
    </row>
    <row r="13" spans="1:6" x14ac:dyDescent="0.3">
      <c r="A13" t="s">
        <v>142</v>
      </c>
      <c r="B13" s="9">
        <f>B4*B5</f>
        <v>700000</v>
      </c>
      <c r="C13" s="9">
        <f>C4*C5</f>
        <v>700000</v>
      </c>
      <c r="D13" s="9">
        <f>D4*D5</f>
        <v>700000</v>
      </c>
      <c r="E13" s="18">
        <f>E4*E5</f>
        <v>150000</v>
      </c>
    </row>
    <row r="14" spans="1:6" x14ac:dyDescent="0.3">
      <c r="A14" t="s">
        <v>161</v>
      </c>
      <c r="B14" s="9">
        <f>B12+B13</f>
        <v>1720000</v>
      </c>
      <c r="C14" s="9">
        <f>C12+C13</f>
        <v>700000</v>
      </c>
      <c r="D14" s="9">
        <f>D12+D13</f>
        <v>700000</v>
      </c>
      <c r="E14" s="18">
        <f>E12+E13</f>
        <v>150000</v>
      </c>
    </row>
    <row r="15" spans="1:6" x14ac:dyDescent="0.3">
      <c r="A15" s="1" t="s">
        <v>162</v>
      </c>
      <c r="B15" s="14">
        <f>B11-B14</f>
        <v>-1368381.4978493496</v>
      </c>
      <c r="C15" s="14">
        <f>C11-C14</f>
        <v>-348381.49784934957</v>
      </c>
      <c r="D15" s="14">
        <f>D11-D14</f>
        <v>673784.74480696605</v>
      </c>
      <c r="E15" s="21">
        <f>E11-E14</f>
        <v>1223784.744806966</v>
      </c>
    </row>
    <row r="16" spans="1:6" x14ac:dyDescent="0.3">
      <c r="A16" s="1" t="s">
        <v>125</v>
      </c>
      <c r="B16" s="15">
        <f>(B11-B14-B4)/(B14+B4)</f>
        <v>-0.93264013368761489</v>
      </c>
      <c r="C16" s="15">
        <f>(C11-C14-C4)/(C14+C4)</f>
        <v>-0.91628130901174987</v>
      </c>
      <c r="D16" s="15">
        <f>(D11-D14-D4)/(D14+D4)</f>
        <v>-0.67290839409357961</v>
      </c>
      <c r="E16" s="22">
        <f>(E11-E14-E4)/(E14+E4)</f>
        <v>0.19459543026692699</v>
      </c>
    </row>
    <row r="17" spans="1:5" x14ac:dyDescent="0.3">
      <c r="A17" s="1" t="s">
        <v>127</v>
      </c>
      <c r="B17" s="16" t="str">
        <f>IF(B15&gt;0,B4/(B15/12),"No se recupera")</f>
        <v>No se recupera</v>
      </c>
      <c r="C17" s="16" t="str">
        <f>IF(C15&gt;0,C4/(C15/12),"No se recupera")</f>
        <v>No se recupera</v>
      </c>
      <c r="D17" s="16">
        <f>IF(D15&gt;0,D4/(D15/12),"No se recupera")</f>
        <v>62.334447794647929</v>
      </c>
      <c r="E17" s="23">
        <f>IF(E15&gt;0,E4/(E15/12),"No se recupera")</f>
        <v>9.8056460099875018</v>
      </c>
    </row>
    <row r="19" spans="1:5" x14ac:dyDescent="0.3">
      <c r="A19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807E-45A2-41EC-A4D0-A62AF59646CD}">
  <dimension ref="A1:F28"/>
  <sheetViews>
    <sheetView workbookViewId="0"/>
  </sheetViews>
  <sheetFormatPr baseColWidth="10" defaultRowHeight="14.4" x14ac:dyDescent="0.3"/>
  <cols>
    <col min="1" max="1" width="58.77734375" customWidth="1"/>
    <col min="2" max="2" width="12.5546875" bestFit="1" customWidth="1"/>
    <col min="3" max="5" width="12.77734375" bestFit="1" customWidth="1"/>
    <col min="6" max="6" width="52.44140625" bestFit="1" customWidth="1"/>
  </cols>
  <sheetData>
    <row r="1" spans="1:6" ht="18" x14ac:dyDescent="0.35">
      <c r="A1" s="2" t="s">
        <v>88</v>
      </c>
    </row>
    <row r="3" spans="1:6" x14ac:dyDescent="0.3">
      <c r="A3" s="3" t="s">
        <v>89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90</v>
      </c>
    </row>
    <row r="5" spans="1:6" x14ac:dyDescent="0.3">
      <c r="A5" t="s">
        <v>91</v>
      </c>
      <c r="B5" t="s">
        <v>92</v>
      </c>
      <c r="C5" s="11">
        <f>SUMPRODUCT((Conteos!$C$4:$C$27="AS-IS")*(Conteos!$B$4:$B$27="feria")*(Conteos!$D$4:$D$27*Supuestos!C$11+Conteos!$E$4:$E$27*Supuestos!C$12+Conteos!$F$4:$F$27*Supuestos!C$13+Conteos!$G$4:$G$27*Supuestos!C$14+Conteos!$H$4:$H$27*Supuestos!C$15+Conteos!$I$4:$I$27*Supuestos!C$16+Conteos!$J$4:$J$27*Supuestos!C$17))</f>
        <v>1654.75</v>
      </c>
      <c r="D5" s="11">
        <f>SUMPRODUCT((Conteos!$C$4:$C$27="AS-IS")*(Conteos!$B$4:$B$27="feria")*(Conteos!$D$4:$D$27*Supuestos!D$11+Conteos!$E$4:$E$27*Supuestos!D$12+Conteos!$F$4:$F$27*Supuestos!D$13+Conteos!$G$4:$G$27*Supuestos!D$14+Conteos!$H$4:$H$27*Supuestos!D$15+Conteos!$I$4:$I$27*Supuestos!D$16+Conteos!$J$4:$J$27*Supuestos!D$17))</f>
        <v>3309.5</v>
      </c>
      <c r="E5" s="11">
        <f>SUMPRODUCT((Conteos!$C$4:$C$27="AS-IS")*(Conteos!$B$4:$B$27="feria")*(Conteos!$D$4:$D$27*Supuestos!E$11+Conteos!$E$4:$E$27*Supuestos!E$12+Conteos!$F$4:$F$27*Supuestos!E$13+Conteos!$G$4:$G$27*Supuestos!E$14+Conteos!$H$4:$H$27*Supuestos!E$15+Conteos!$I$4:$I$27*Supuestos!E$16+Conteos!$J$4:$J$27*Supuestos!E$17))</f>
        <v>4964.25</v>
      </c>
      <c r="F5" t="s">
        <v>93</v>
      </c>
    </row>
    <row r="6" spans="1:6" x14ac:dyDescent="0.3">
      <c r="A6" t="s">
        <v>94</v>
      </c>
      <c r="B6" t="s">
        <v>92</v>
      </c>
      <c r="C6" s="11">
        <f>SUMPRODUCT((Conteos!$C$4:$C$27="TO-BE")*(Conteos!$B$4:$B$27="feria")*(Conteos!$D$4:$D$27*Supuestos!C$11+Conteos!$E$4:$E$27*Supuestos!C$12+Conteos!$F$4:$F$27*Supuestos!C$13+Conteos!$G$4:$G$27*Supuestos!C$14+Conteos!$H$4:$H$27*Supuestos!C$15+Conteos!$I$4:$I$27*Supuestos!C$16+Conteos!$J$4:$J$27*Supuestos!C$17))</f>
        <v>760.625</v>
      </c>
      <c r="D6" s="11">
        <f>SUMPRODUCT((Conteos!$C$4:$C$27="TO-BE")*(Conteos!$B$4:$B$27="feria")*(Conteos!$D$4:$D$27*Supuestos!D$11+Conteos!$E$4:$E$27*Supuestos!D$12+Conteos!$F$4:$F$27*Supuestos!D$13+Conteos!$G$4:$G$27*Supuestos!D$14+Conteos!$H$4:$H$27*Supuestos!D$15+Conteos!$I$4:$I$27*Supuestos!D$16+Conteos!$J$4:$J$27*Supuestos!D$17))</f>
        <v>1521.25</v>
      </c>
      <c r="E6" s="11">
        <f>SUMPRODUCT((Conteos!$C$4:$C$27="TO-BE")*(Conteos!$B$4:$B$27="feria")*(Conteos!$D$4:$D$27*Supuestos!E$11+Conteos!$E$4:$E$27*Supuestos!E$12+Conteos!$F$4:$F$27*Supuestos!E$13+Conteos!$G$4:$G$27*Supuestos!E$14+Conteos!$H$4:$H$27*Supuestos!E$15+Conteos!$I$4:$I$27*Supuestos!E$16+Conteos!$J$4:$J$27*Supuestos!E$17))</f>
        <v>2281.875</v>
      </c>
      <c r="F6" t="s">
        <v>95</v>
      </c>
    </row>
    <row r="7" spans="1:6" x14ac:dyDescent="0.3">
      <c r="A7" t="s">
        <v>96</v>
      </c>
      <c r="B7" t="s">
        <v>92</v>
      </c>
      <c r="C7" s="11">
        <f>C5-C6</f>
        <v>894.125</v>
      </c>
      <c r="D7" s="11">
        <f>D5-D6</f>
        <v>1788.25</v>
      </c>
      <c r="E7" s="11">
        <f>E5-E6</f>
        <v>2682.375</v>
      </c>
      <c r="F7" t="s">
        <v>97</v>
      </c>
    </row>
    <row r="8" spans="1:6" x14ac:dyDescent="0.3">
      <c r="A8" t="s">
        <v>98</v>
      </c>
      <c r="B8" t="s">
        <v>99</v>
      </c>
      <c r="C8" s="12">
        <f>C7/(Supuestos!C6*Supuestos!C7)</f>
        <v>4.6901227444397824</v>
      </c>
      <c r="D8" s="12">
        <f>D7/(Supuestos!D6*Supuestos!D7)</f>
        <v>9.3802454888795648</v>
      </c>
      <c r="E8" s="12">
        <f>E7/(Supuestos!E6*Supuestos!E7)</f>
        <v>14.070368233319346</v>
      </c>
      <c r="F8" t="s">
        <v>100</v>
      </c>
    </row>
    <row r="9" spans="1:6" x14ac:dyDescent="0.3">
      <c r="A9" s="1" t="s">
        <v>101</v>
      </c>
      <c r="B9" s="1" t="s">
        <v>56</v>
      </c>
      <c r="C9" s="14">
        <f>C7*Supuestos!C8</f>
        <v>175809.25107532521</v>
      </c>
      <c r="D9" s="14">
        <f>D7*Supuestos!D8</f>
        <v>351618.50215065043</v>
      </c>
      <c r="E9" s="14">
        <f>E7*Supuestos!E8</f>
        <v>527427.75322597567</v>
      </c>
      <c r="F9" t="s">
        <v>102</v>
      </c>
    </row>
    <row r="11" spans="1:6" x14ac:dyDescent="0.3">
      <c r="A11" t="s">
        <v>103</v>
      </c>
      <c r="B11" t="s">
        <v>92</v>
      </c>
      <c r="C11" s="11">
        <f>SUMPRODUCT((Conteos!$C$4:$C$27="AS-IS")*(Conteos!$B$4:$B$27="no feria")*(Conteos!$D$4:$D$27*Supuestos!C$11+Conteos!$E$4:$E$27*Supuestos!C$12+Conteos!$F$4:$F$27*Supuestos!C$13+Conteos!$G$4:$G$27*Supuestos!C$14+Conteos!$H$4:$H$27*Supuestos!C$15+Conteos!$I$4:$I$27*Supuestos!C$16+Conteos!$J$4:$J$27*Supuestos!C$17))</f>
        <v>4903.25</v>
      </c>
      <c r="D11" s="11">
        <f>SUMPRODUCT((Conteos!$C$4:$C$27="AS-IS")*(Conteos!$B$4:$B$27="no feria")*(Conteos!$D$4:$D$27*Supuestos!D$11+Conteos!$E$4:$E$27*Supuestos!D$12+Conteos!$F$4:$F$27*Supuestos!D$13+Conteos!$G$4:$G$27*Supuestos!D$14+Conteos!$H$4:$H$27*Supuestos!D$15+Conteos!$I$4:$I$27*Supuestos!D$16+Conteos!$J$4:$J$27*Supuestos!D$17))</f>
        <v>9806.5</v>
      </c>
      <c r="E11" s="11">
        <f>SUMPRODUCT((Conteos!$C$4:$C$27="AS-IS")*(Conteos!$B$4:$B$27="no feria")*(Conteos!$D$4:$D$27*Supuestos!E$11+Conteos!$E$4:$E$27*Supuestos!E$12+Conteos!$F$4:$F$27*Supuestos!E$13+Conteos!$G$4:$G$27*Supuestos!E$14+Conteos!$H$4:$H$27*Supuestos!E$15+Conteos!$I$4:$I$27*Supuestos!E$16+Conteos!$J$4:$J$27*Supuestos!E$17))</f>
        <v>14709.75</v>
      </c>
    </row>
    <row r="12" spans="1:6" x14ac:dyDescent="0.3">
      <c r="A12" t="s">
        <v>104</v>
      </c>
      <c r="B12" t="s">
        <v>92</v>
      </c>
      <c r="C12" s="11">
        <f>SUMPRODUCT((Conteos!$C$4:$C$27="TO-BE")*(Conteos!$B$4:$B$27="no feria")*(Conteos!$D$4:$D$27*Supuestos!C$11+Conteos!$E$4:$E$27*Supuestos!C$12+Conteos!$F$4:$F$27*Supuestos!C$13+Conteos!$G$4:$G$27*Supuestos!C$14+Conteos!$H$4:$H$27*Supuestos!C$15+Conteos!$I$4:$I$27*Supuestos!C$16+Conteos!$J$4:$J$27*Supuestos!C$17))</f>
        <v>2304</v>
      </c>
      <c r="D12" s="11">
        <f>SUMPRODUCT((Conteos!$C$4:$C$27="TO-BE")*(Conteos!$B$4:$B$27="no feria")*(Conteos!$D$4:$D$27*Supuestos!D$11+Conteos!$E$4:$E$27*Supuestos!D$12+Conteos!$F$4:$F$27*Supuestos!D$13+Conteos!$G$4:$G$27*Supuestos!D$14+Conteos!$H$4:$H$27*Supuestos!D$15+Conteos!$I$4:$I$27*Supuestos!D$16+Conteos!$J$4:$J$27*Supuestos!D$17))</f>
        <v>4608</v>
      </c>
      <c r="E12" s="11">
        <f>SUMPRODUCT((Conteos!$C$4:$C$27="TO-BE")*(Conteos!$B$4:$B$27="no feria")*(Conteos!$D$4:$D$27*Supuestos!E$11+Conteos!$E$4:$E$27*Supuestos!E$12+Conteos!$F$4:$F$27*Supuestos!E$13+Conteos!$G$4:$G$27*Supuestos!E$14+Conteos!$H$4:$H$27*Supuestos!E$15+Conteos!$I$4:$I$27*Supuestos!E$16+Conteos!$J$4:$J$27*Supuestos!E$17))</f>
        <v>6912</v>
      </c>
    </row>
    <row r="13" spans="1:6" x14ac:dyDescent="0.3">
      <c r="A13" t="s">
        <v>105</v>
      </c>
      <c r="B13" t="s">
        <v>92</v>
      </c>
      <c r="C13" s="11">
        <f>C11-C12</f>
        <v>2599.25</v>
      </c>
      <c r="D13" s="11">
        <f>D11-D12</f>
        <v>5198.5</v>
      </c>
      <c r="E13" s="11">
        <f>E11-E12</f>
        <v>7797.75</v>
      </c>
      <c r="F13" t="s">
        <v>106</v>
      </c>
    </row>
    <row r="14" spans="1:6" x14ac:dyDescent="0.3">
      <c r="A14" t="s">
        <v>107</v>
      </c>
      <c r="B14" t="s">
        <v>56</v>
      </c>
      <c r="C14" s="9">
        <f>C13*Supuestos!C8</f>
        <v>511083.12132815778</v>
      </c>
      <c r="D14" s="9">
        <f>D13*Supuestos!D8</f>
        <v>1022166.2426563156</v>
      </c>
      <c r="E14" s="9">
        <f>E13*Supuestos!E8</f>
        <v>1533249.3639844733</v>
      </c>
      <c r="F14" t="s">
        <v>108</v>
      </c>
    </row>
    <row r="15" spans="1:6" x14ac:dyDescent="0.3">
      <c r="A15" s="1" t="s">
        <v>109</v>
      </c>
      <c r="B15" s="1" t="s">
        <v>56</v>
      </c>
      <c r="C15" s="14">
        <f>C14*Supuestos!C24</f>
        <v>255541.56066407889</v>
      </c>
      <c r="D15" s="14">
        <f>D14*Supuestos!D24</f>
        <v>1022166.2426563156</v>
      </c>
      <c r="E15" s="14">
        <f>E14*Supuestos!E24</f>
        <v>1533249.3639844733</v>
      </c>
      <c r="F15" t="s">
        <v>110</v>
      </c>
    </row>
    <row r="16" spans="1:6" x14ac:dyDescent="0.3">
      <c r="A16" t="s">
        <v>111</v>
      </c>
      <c r="B16" t="s">
        <v>112</v>
      </c>
      <c r="C16" s="11">
        <f>SUMPRODUCT((Conteos!$C$4:$C$27="TO-BE")*Conteos!$K$4:$K$27)*Supuestos!C23</f>
        <v>0</v>
      </c>
      <c r="D16" s="11">
        <f>SUMPRODUCT((Conteos!$C$4:$C$27="TO-BE")*Conteos!$K$4:$K$27)*Supuestos!D23</f>
        <v>0</v>
      </c>
      <c r="E16" s="11">
        <f>SUMPRODUCT((Conteos!$C$4:$C$27="TO-BE")*Conteos!$K$4:$K$27)*Supuestos!E23</f>
        <v>0</v>
      </c>
      <c r="F16" t="s">
        <v>113</v>
      </c>
    </row>
    <row r="17" spans="1:6" x14ac:dyDescent="0.3">
      <c r="A17" t="s">
        <v>114</v>
      </c>
      <c r="B17" t="s">
        <v>56</v>
      </c>
      <c r="C17" s="9">
        <f>C16*Supuestos!C19</f>
        <v>0</v>
      </c>
      <c r="D17" s="9">
        <f>D16*Supuestos!D19</f>
        <v>0</v>
      </c>
      <c r="E17" s="9">
        <f>E16*Supuestos!E19</f>
        <v>0</v>
      </c>
      <c r="F17" t="s">
        <v>115</v>
      </c>
    </row>
    <row r="18" spans="1:6" x14ac:dyDescent="0.3">
      <c r="A18" t="s">
        <v>116</v>
      </c>
      <c r="B18" t="s">
        <v>56</v>
      </c>
      <c r="C18" s="9">
        <f>Supuestos!C22</f>
        <v>300000</v>
      </c>
      <c r="D18" s="9">
        <f>Supuestos!D22</f>
        <v>150000</v>
      </c>
      <c r="E18" s="9">
        <f>Supuestos!E22</f>
        <v>70000</v>
      </c>
    </row>
    <row r="19" spans="1:6" x14ac:dyDescent="0.3">
      <c r="A19" t="s">
        <v>117</v>
      </c>
      <c r="B19" t="s">
        <v>56</v>
      </c>
      <c r="C19" s="9">
        <f>C17+C18</f>
        <v>300000</v>
      </c>
      <c r="D19" s="9">
        <f>D17+D18</f>
        <v>150000</v>
      </c>
      <c r="E19" s="9">
        <f>E17+E18</f>
        <v>70000</v>
      </c>
      <c r="F19" t="s">
        <v>118</v>
      </c>
    </row>
    <row r="20" spans="1:6" x14ac:dyDescent="0.3">
      <c r="A20" t="s">
        <v>119</v>
      </c>
      <c r="B20" t="s">
        <v>42</v>
      </c>
      <c r="C20" s="9">
        <f>Supuestos!C20</f>
        <v>1500000</v>
      </c>
      <c r="D20" s="9">
        <f>Supuestos!D20</f>
        <v>1000000</v>
      </c>
      <c r="E20" s="9">
        <f>Supuestos!E20</f>
        <v>700000</v>
      </c>
      <c r="F20" t="s">
        <v>120</v>
      </c>
    </row>
    <row r="21" spans="1:6" x14ac:dyDescent="0.3">
      <c r="A21" s="1" t="s">
        <v>121</v>
      </c>
      <c r="B21" s="1" t="s">
        <v>56</v>
      </c>
      <c r="C21" s="14">
        <f>C9+C15</f>
        <v>431350.8117394041</v>
      </c>
      <c r="D21" s="14">
        <f>D9+D15</f>
        <v>1373784.744806966</v>
      </c>
      <c r="E21" s="14">
        <f>E9+E15</f>
        <v>2060677.117210449</v>
      </c>
      <c r="F21" t="s">
        <v>122</v>
      </c>
    </row>
    <row r="22" spans="1:6" x14ac:dyDescent="0.3">
      <c r="A22" s="1" t="s">
        <v>123</v>
      </c>
      <c r="B22" s="1" t="s">
        <v>56</v>
      </c>
      <c r="C22" s="14">
        <f>C21-C19</f>
        <v>131350.8117394041</v>
      </c>
      <c r="D22" s="14">
        <f>D21-D19</f>
        <v>1223784.744806966</v>
      </c>
      <c r="E22" s="14">
        <f>E21-E19</f>
        <v>1990677.117210449</v>
      </c>
      <c r="F22" t="s">
        <v>124</v>
      </c>
    </row>
    <row r="23" spans="1:6" x14ac:dyDescent="0.3">
      <c r="A23" s="1" t="s">
        <v>125</v>
      </c>
      <c r="B23" s="1" t="s">
        <v>45</v>
      </c>
      <c r="C23" s="15">
        <f>(C21-C19-C20)/(C19+C20)</f>
        <v>-0.76036066014477544</v>
      </c>
      <c r="D23" s="15">
        <f>(D21-D19-D20)/(D19+D20)</f>
        <v>0.19459543026692699</v>
      </c>
      <c r="E23" s="15">
        <f>(E21-E19-E20)/(E19+E20)</f>
        <v>1.6762040483252585</v>
      </c>
      <c r="F23" t="s">
        <v>126</v>
      </c>
    </row>
    <row r="24" spans="1:6" x14ac:dyDescent="0.3">
      <c r="A24" s="1" t="s">
        <v>127</v>
      </c>
      <c r="B24" s="1" t="s">
        <v>128</v>
      </c>
      <c r="C24" s="16">
        <f>IF(C22&gt;0,C20/(C22/12),"No se recupera")</f>
        <v>137.03760000898538</v>
      </c>
      <c r="D24" s="16">
        <f>IF(D22&gt;0,D20/(D22/12),"No se recupera")</f>
        <v>9.8056460099875018</v>
      </c>
      <c r="E24" s="16">
        <f>IF(E22&gt;0,E20/(E22/12),"No se recupera")</f>
        <v>4.2196697432132959</v>
      </c>
      <c r="F24" t="s">
        <v>129</v>
      </c>
    </row>
    <row r="26" spans="1:6" x14ac:dyDescent="0.3">
      <c r="A26" t="s">
        <v>130</v>
      </c>
      <c r="B26" t="s">
        <v>45</v>
      </c>
      <c r="C26" s="13">
        <f>(C9-C19-C20)/(C19+C20)</f>
        <v>-0.90232819384704155</v>
      </c>
      <c r="D26" s="13">
        <f>(D9-D19-D20)/(D19+D20)</f>
        <v>-0.69424478073856488</v>
      </c>
      <c r="E26" s="13">
        <f>(E9-E19-E20)/(E19+E20)</f>
        <v>-0.31502889191431732</v>
      </c>
      <c r="F26" t="s">
        <v>131</v>
      </c>
    </row>
    <row r="28" spans="1:6" x14ac:dyDescent="0.3">
      <c r="A28" t="s">
        <v>132</v>
      </c>
      <c r="B28" t="s">
        <v>133</v>
      </c>
      <c r="C28" s="11">
        <f>SUMPRODUCT((Conteos!$C$4:$C$27="AS-IS")*Conteos!$M$4:$M$27)-SUMPRODUCT((Conteos!$C$4:$C$27="TO-BE")*Conteos!$M$4:$M$27)</f>
        <v>153</v>
      </c>
      <c r="D28" s="11">
        <f>SUMPRODUCT((Conteos!$C$4:$C$27="AS-IS")*Conteos!$M$4:$M$27)-SUMPRODUCT((Conteos!$C$4:$C$27="TO-BE")*Conteos!$M$4:$M$27)</f>
        <v>153</v>
      </c>
      <c r="E28" s="11">
        <f>SUMPRODUCT((Conteos!$C$4:$C$27="AS-IS")*Conteos!$M$4:$M$27)-SUMPRODUCT((Conteos!$C$4:$C$27="TO-BE")*Conteos!$M$4:$M$27)</f>
        <v>153</v>
      </c>
      <c r="F28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0D3B-701E-4AF3-A22B-7E58920B8AA2}">
  <dimension ref="A1:F24"/>
  <sheetViews>
    <sheetView workbookViewId="0"/>
  </sheetViews>
  <sheetFormatPr baseColWidth="10" defaultRowHeight="14.4" x14ac:dyDescent="0.3"/>
  <cols>
    <col min="1" max="1" width="50.77734375" customWidth="1"/>
    <col min="2" max="2" width="12" bestFit="1" customWidth="1"/>
    <col min="3" max="4" width="12.77734375" bestFit="1" customWidth="1"/>
    <col min="5" max="5" width="11.21875" bestFit="1" customWidth="1"/>
    <col min="6" max="6" width="66.5546875" bestFit="1" customWidth="1"/>
  </cols>
  <sheetData>
    <row r="1" spans="1:6" ht="18" x14ac:dyDescent="0.35">
      <c r="A1" s="2" t="s">
        <v>9</v>
      </c>
    </row>
    <row r="3" spans="1:6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x14ac:dyDescent="0.3">
      <c r="A4" t="s">
        <v>16</v>
      </c>
      <c r="B4" t="s">
        <v>17</v>
      </c>
      <c r="C4" s="6">
        <v>29988</v>
      </c>
      <c r="D4" s="6">
        <v>29988</v>
      </c>
      <c r="E4" s="6">
        <v>29988</v>
      </c>
      <c r="F4" t="s">
        <v>18</v>
      </c>
    </row>
    <row r="5" spans="1:6" x14ac:dyDescent="0.3">
      <c r="A5" t="s">
        <v>19</v>
      </c>
      <c r="B5" t="s">
        <v>20</v>
      </c>
      <c r="C5" s="4">
        <v>1.25</v>
      </c>
      <c r="D5" s="4">
        <v>1.25</v>
      </c>
      <c r="E5" s="4">
        <v>1.25</v>
      </c>
      <c r="F5" t="s">
        <v>21</v>
      </c>
    </row>
    <row r="6" spans="1:6" x14ac:dyDescent="0.3">
      <c r="A6" t="s">
        <v>22</v>
      </c>
      <c r="B6" t="s">
        <v>23</v>
      </c>
      <c r="C6" s="4">
        <v>23.83</v>
      </c>
      <c r="D6" s="4">
        <v>23.83</v>
      </c>
      <c r="E6" s="4">
        <v>23.83</v>
      </c>
      <c r="F6" t="s">
        <v>24</v>
      </c>
    </row>
    <row r="7" spans="1:6" x14ac:dyDescent="0.3">
      <c r="A7" t="s">
        <v>25</v>
      </c>
      <c r="B7" t="s">
        <v>26</v>
      </c>
      <c r="C7" s="4">
        <v>8</v>
      </c>
      <c r="D7" s="4">
        <v>8</v>
      </c>
      <c r="E7" s="4">
        <v>8</v>
      </c>
      <c r="F7" t="s">
        <v>27</v>
      </c>
    </row>
    <row r="8" spans="1:6" x14ac:dyDescent="0.3">
      <c r="A8" t="s">
        <v>52</v>
      </c>
      <c r="B8" t="s">
        <v>53</v>
      </c>
      <c r="C8" s="7">
        <f>C4*C5/(C6*C7)</f>
        <v>196.62715065044063</v>
      </c>
      <c r="D8" s="7">
        <f>D4*D5/(D6*D7)</f>
        <v>196.62715065044063</v>
      </c>
      <c r="E8" s="7">
        <f>E4*E5/(E6*E7)</f>
        <v>196.62715065044063</v>
      </c>
      <c r="F8" t="s">
        <v>54</v>
      </c>
    </row>
    <row r="10" spans="1:6" x14ac:dyDescent="0.3">
      <c r="A10" s="1" t="s">
        <v>51</v>
      </c>
    </row>
    <row r="11" spans="1:6" x14ac:dyDescent="0.3">
      <c r="A11" t="s">
        <v>28</v>
      </c>
      <c r="B11" t="s">
        <v>29</v>
      </c>
      <c r="C11" s="4">
        <v>0.75</v>
      </c>
      <c r="D11" s="4">
        <v>1.5</v>
      </c>
      <c r="E11" s="4">
        <v>2.25</v>
      </c>
      <c r="F11" t="s">
        <v>30</v>
      </c>
    </row>
    <row r="12" spans="1:6" x14ac:dyDescent="0.3">
      <c r="A12" t="s">
        <v>31</v>
      </c>
      <c r="B12" t="s">
        <v>29</v>
      </c>
      <c r="C12" s="4">
        <v>0.5</v>
      </c>
      <c r="D12" s="4">
        <v>1</v>
      </c>
      <c r="E12" s="4">
        <v>1.5</v>
      </c>
      <c r="F12" t="s">
        <v>32</v>
      </c>
    </row>
    <row r="13" spans="1:6" x14ac:dyDescent="0.3">
      <c r="A13" t="s">
        <v>33</v>
      </c>
      <c r="B13" t="s">
        <v>29</v>
      </c>
      <c r="C13" s="4">
        <v>0.5</v>
      </c>
      <c r="D13" s="4">
        <v>1</v>
      </c>
      <c r="E13" s="4">
        <v>1.5</v>
      </c>
      <c r="F13" t="s">
        <v>32</v>
      </c>
    </row>
    <row r="14" spans="1:6" x14ac:dyDescent="0.3">
      <c r="A14" t="s">
        <v>34</v>
      </c>
      <c r="B14" t="s">
        <v>29</v>
      </c>
      <c r="C14" s="4">
        <v>0.25</v>
      </c>
      <c r="D14" s="4">
        <v>0.5</v>
      </c>
      <c r="E14" s="4">
        <v>0.75</v>
      </c>
      <c r="F14" t="s">
        <v>32</v>
      </c>
    </row>
    <row r="15" spans="1:6" x14ac:dyDescent="0.3">
      <c r="A15" t="s">
        <v>35</v>
      </c>
      <c r="B15" t="s">
        <v>29</v>
      </c>
      <c r="C15" s="4">
        <v>0.125</v>
      </c>
      <c r="D15" s="4">
        <v>0.25</v>
      </c>
      <c r="E15" s="4">
        <v>0.375</v>
      </c>
      <c r="F15" t="s">
        <v>32</v>
      </c>
    </row>
    <row r="16" spans="1:6" x14ac:dyDescent="0.3">
      <c r="A16" t="s">
        <v>36</v>
      </c>
      <c r="B16" t="s">
        <v>29</v>
      </c>
      <c r="C16" s="4">
        <v>0.5</v>
      </c>
      <c r="D16" s="4">
        <v>1</v>
      </c>
      <c r="E16" s="4">
        <v>1.5</v>
      </c>
      <c r="F16" t="s">
        <v>32</v>
      </c>
    </row>
    <row r="17" spans="1:6" x14ac:dyDescent="0.3">
      <c r="A17" t="s">
        <v>37</v>
      </c>
      <c r="B17" t="s">
        <v>29</v>
      </c>
      <c r="C17" s="4">
        <v>0.5</v>
      </c>
      <c r="D17" s="4">
        <v>1</v>
      </c>
      <c r="E17" s="4">
        <v>1.5</v>
      </c>
      <c r="F17" t="s">
        <v>32</v>
      </c>
    </row>
    <row r="19" spans="1:6" x14ac:dyDescent="0.3">
      <c r="A19" t="s">
        <v>38</v>
      </c>
      <c r="B19" t="s">
        <v>39</v>
      </c>
      <c r="C19" s="6">
        <v>500</v>
      </c>
      <c r="D19" s="6">
        <v>400</v>
      </c>
      <c r="E19" s="6">
        <v>300</v>
      </c>
      <c r="F19" t="s">
        <v>40</v>
      </c>
    </row>
    <row r="20" spans="1:6" x14ac:dyDescent="0.3">
      <c r="A20" t="s">
        <v>41</v>
      </c>
      <c r="B20" t="s">
        <v>42</v>
      </c>
      <c r="C20" s="6">
        <v>1500000</v>
      </c>
      <c r="D20" s="6">
        <v>1000000</v>
      </c>
      <c r="E20" s="6">
        <v>700000</v>
      </c>
      <c r="F20" t="s">
        <v>43</v>
      </c>
    </row>
    <row r="21" spans="1:6" x14ac:dyDescent="0.3">
      <c r="A21" t="s">
        <v>44</v>
      </c>
      <c r="B21" t="s">
        <v>45</v>
      </c>
      <c r="C21" s="8">
        <v>0.2</v>
      </c>
      <c r="D21" s="8">
        <v>0.15</v>
      </c>
      <c r="E21" s="8">
        <v>0.1</v>
      </c>
      <c r="F21" t="s">
        <v>46</v>
      </c>
    </row>
    <row r="22" spans="1:6" x14ac:dyDescent="0.3">
      <c r="A22" t="s">
        <v>55</v>
      </c>
      <c r="B22" t="s">
        <v>56</v>
      </c>
      <c r="C22" s="9">
        <f>C20*C21</f>
        <v>300000</v>
      </c>
      <c r="D22" s="9">
        <f>D20*D21</f>
        <v>150000</v>
      </c>
      <c r="E22" s="9">
        <f>E20*E21</f>
        <v>70000</v>
      </c>
      <c r="F22" t="s">
        <v>54</v>
      </c>
    </row>
    <row r="23" spans="1:6" x14ac:dyDescent="0.3">
      <c r="A23" t="s">
        <v>47</v>
      </c>
      <c r="B23" s="5">
        <v>36526</v>
      </c>
      <c r="C23" s="4">
        <v>0</v>
      </c>
      <c r="D23" s="4">
        <v>0</v>
      </c>
      <c r="E23" s="4">
        <v>0</v>
      </c>
      <c r="F23" t="s">
        <v>48</v>
      </c>
    </row>
    <row r="24" spans="1:6" x14ac:dyDescent="0.3">
      <c r="A24" t="s">
        <v>49</v>
      </c>
      <c r="B24" t="s">
        <v>45</v>
      </c>
      <c r="C24" s="8">
        <v>0.5</v>
      </c>
      <c r="D24" s="8">
        <v>1</v>
      </c>
      <c r="E24" s="8">
        <v>1</v>
      </c>
      <c r="F2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AA9-092C-4E7E-AACB-704C615D5293}">
  <dimension ref="A1:N27"/>
  <sheetViews>
    <sheetView workbookViewId="0"/>
  </sheetViews>
  <sheetFormatPr baseColWidth="10" defaultRowHeight="14.4" x14ac:dyDescent="0.3"/>
  <cols>
    <col min="1" max="1" width="83.5546875" bestFit="1" customWidth="1"/>
    <col min="2" max="2" width="10.21875" bestFit="1" customWidth="1"/>
    <col min="3" max="3" width="9.109375" bestFit="1" customWidth="1"/>
    <col min="4" max="6" width="8" bestFit="1" customWidth="1"/>
    <col min="7" max="7" width="12.5546875" bestFit="1" customWidth="1"/>
    <col min="8" max="8" width="12.77734375" bestFit="1" customWidth="1"/>
    <col min="9" max="9" width="18.77734375" bestFit="1" customWidth="1"/>
    <col min="10" max="10" width="16.88671875" bestFit="1" customWidth="1"/>
    <col min="11" max="11" width="15.88671875" bestFit="1" customWidth="1"/>
    <col min="12" max="12" width="18.21875" bestFit="1" customWidth="1"/>
    <col min="13" max="13" width="19.5546875" bestFit="1" customWidth="1"/>
    <col min="14" max="14" width="14.77734375" bestFit="1" customWidth="1"/>
  </cols>
  <sheetData>
    <row r="1" spans="1:14" ht="18" x14ac:dyDescent="0.35">
      <c r="A1" s="2" t="s">
        <v>57</v>
      </c>
    </row>
    <row r="3" spans="1:14" x14ac:dyDescent="0.3">
      <c r="A3" s="3" t="s">
        <v>58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65</v>
      </c>
      <c r="I3" s="3" t="s">
        <v>66</v>
      </c>
      <c r="J3" s="3" t="s">
        <v>67</v>
      </c>
      <c r="K3" s="3" t="s">
        <v>68</v>
      </c>
      <c r="L3" s="3" t="s">
        <v>69</v>
      </c>
      <c r="M3" s="3" t="s">
        <v>70</v>
      </c>
      <c r="N3" s="3" t="s">
        <v>71</v>
      </c>
    </row>
    <row r="4" spans="1:14" x14ac:dyDescent="0.3">
      <c r="A4" s="10" t="s">
        <v>72</v>
      </c>
      <c r="B4" t="s">
        <v>73</v>
      </c>
      <c r="C4" t="s">
        <v>74</v>
      </c>
      <c r="D4">
        <v>286</v>
      </c>
      <c r="E4">
        <v>264</v>
      </c>
      <c r="F4">
        <v>264</v>
      </c>
      <c r="G4">
        <v>0</v>
      </c>
      <c r="H4">
        <v>0</v>
      </c>
      <c r="I4">
        <v>0</v>
      </c>
      <c r="J4">
        <v>0</v>
      </c>
      <c r="K4">
        <v>0</v>
      </c>
      <c r="L4">
        <v>236</v>
      </c>
      <c r="M4">
        <v>22</v>
      </c>
      <c r="N4">
        <v>214</v>
      </c>
    </row>
    <row r="5" spans="1:14" x14ac:dyDescent="0.3">
      <c r="A5" s="10" t="s">
        <v>72</v>
      </c>
      <c r="B5" t="s">
        <v>73</v>
      </c>
      <c r="C5" t="s">
        <v>75</v>
      </c>
      <c r="D5">
        <v>50</v>
      </c>
      <c r="E5">
        <v>43</v>
      </c>
      <c r="F5">
        <v>43</v>
      </c>
      <c r="G5">
        <v>183</v>
      </c>
      <c r="H5">
        <v>6</v>
      </c>
      <c r="I5">
        <v>8</v>
      </c>
      <c r="J5">
        <v>177</v>
      </c>
      <c r="K5">
        <v>177</v>
      </c>
      <c r="L5">
        <v>236</v>
      </c>
      <c r="M5">
        <v>22</v>
      </c>
      <c r="N5">
        <v>214</v>
      </c>
    </row>
    <row r="6" spans="1:14" x14ac:dyDescent="0.3">
      <c r="A6" s="10" t="s">
        <v>76</v>
      </c>
      <c r="B6" t="s">
        <v>77</v>
      </c>
      <c r="C6" t="s">
        <v>74</v>
      </c>
      <c r="D6">
        <v>470</v>
      </c>
      <c r="E6">
        <v>439</v>
      </c>
      <c r="F6">
        <v>439</v>
      </c>
      <c r="G6">
        <v>0</v>
      </c>
      <c r="H6">
        <v>0</v>
      </c>
      <c r="I6">
        <v>0</v>
      </c>
      <c r="J6">
        <v>0</v>
      </c>
      <c r="K6">
        <v>0</v>
      </c>
      <c r="L6">
        <v>378</v>
      </c>
      <c r="M6">
        <v>31</v>
      </c>
      <c r="N6">
        <v>347</v>
      </c>
    </row>
    <row r="7" spans="1:14" x14ac:dyDescent="0.3">
      <c r="A7" s="10" t="s">
        <v>76</v>
      </c>
      <c r="B7" t="s">
        <v>77</v>
      </c>
      <c r="C7" t="s">
        <v>75</v>
      </c>
      <c r="D7">
        <v>82</v>
      </c>
      <c r="E7">
        <v>80</v>
      </c>
      <c r="F7">
        <v>80</v>
      </c>
      <c r="G7">
        <v>308</v>
      </c>
      <c r="H7">
        <v>13</v>
      </c>
      <c r="I7">
        <v>11</v>
      </c>
      <c r="J7">
        <v>295</v>
      </c>
      <c r="K7">
        <v>295</v>
      </c>
      <c r="L7">
        <v>378</v>
      </c>
      <c r="M7">
        <v>15</v>
      </c>
      <c r="N7">
        <v>363</v>
      </c>
    </row>
    <row r="8" spans="1:14" x14ac:dyDescent="0.3">
      <c r="A8" s="10" t="s">
        <v>78</v>
      </c>
      <c r="B8" t="s">
        <v>73</v>
      </c>
      <c r="C8" t="s">
        <v>74</v>
      </c>
      <c r="D8">
        <v>286</v>
      </c>
      <c r="E8">
        <v>263</v>
      </c>
      <c r="F8">
        <v>263</v>
      </c>
      <c r="G8">
        <v>0</v>
      </c>
      <c r="H8">
        <v>0</v>
      </c>
      <c r="I8">
        <v>0</v>
      </c>
      <c r="J8">
        <v>0</v>
      </c>
      <c r="K8">
        <v>0</v>
      </c>
      <c r="L8">
        <v>232</v>
      </c>
      <c r="M8">
        <v>23</v>
      </c>
      <c r="N8">
        <v>209</v>
      </c>
    </row>
    <row r="9" spans="1:14" x14ac:dyDescent="0.3">
      <c r="A9" s="10" t="s">
        <v>78</v>
      </c>
      <c r="B9" t="s">
        <v>73</v>
      </c>
      <c r="C9" t="s">
        <v>75</v>
      </c>
      <c r="D9">
        <v>37</v>
      </c>
      <c r="E9">
        <v>33</v>
      </c>
      <c r="F9">
        <v>33</v>
      </c>
      <c r="G9">
        <v>202</v>
      </c>
      <c r="H9">
        <v>12</v>
      </c>
      <c r="I9">
        <v>12</v>
      </c>
      <c r="J9">
        <v>190</v>
      </c>
      <c r="K9">
        <v>190</v>
      </c>
      <c r="L9">
        <v>232</v>
      </c>
      <c r="M9">
        <v>15</v>
      </c>
      <c r="N9">
        <v>217</v>
      </c>
    </row>
    <row r="10" spans="1:14" x14ac:dyDescent="0.3">
      <c r="A10" s="10" t="s">
        <v>79</v>
      </c>
      <c r="B10" t="s">
        <v>73</v>
      </c>
      <c r="C10" t="s">
        <v>74</v>
      </c>
      <c r="D10">
        <v>294</v>
      </c>
      <c r="E10">
        <v>265</v>
      </c>
      <c r="F10">
        <v>265</v>
      </c>
      <c r="G10">
        <v>0</v>
      </c>
      <c r="H10">
        <v>0</v>
      </c>
      <c r="I10">
        <v>0</v>
      </c>
      <c r="J10">
        <v>0</v>
      </c>
      <c r="K10">
        <v>0</v>
      </c>
      <c r="L10">
        <v>246</v>
      </c>
      <c r="M10">
        <v>29</v>
      </c>
      <c r="N10">
        <v>217</v>
      </c>
    </row>
    <row r="11" spans="1:14" x14ac:dyDescent="0.3">
      <c r="A11" s="10" t="s">
        <v>79</v>
      </c>
      <c r="B11" t="s">
        <v>73</v>
      </c>
      <c r="C11" t="s">
        <v>75</v>
      </c>
      <c r="D11">
        <v>57</v>
      </c>
      <c r="E11">
        <v>53</v>
      </c>
      <c r="F11">
        <v>53</v>
      </c>
      <c r="G11">
        <v>203</v>
      </c>
      <c r="H11">
        <v>10</v>
      </c>
      <c r="I11">
        <v>9</v>
      </c>
      <c r="J11">
        <v>193</v>
      </c>
      <c r="K11">
        <v>193</v>
      </c>
      <c r="L11">
        <v>246</v>
      </c>
      <c r="M11">
        <v>12</v>
      </c>
      <c r="N11">
        <v>234</v>
      </c>
    </row>
    <row r="12" spans="1:14" x14ac:dyDescent="0.3">
      <c r="A12" s="10" t="s">
        <v>80</v>
      </c>
      <c r="B12" t="s">
        <v>73</v>
      </c>
      <c r="C12" t="s">
        <v>74</v>
      </c>
      <c r="D12">
        <v>310</v>
      </c>
      <c r="E12">
        <v>277</v>
      </c>
      <c r="F12">
        <v>277</v>
      </c>
      <c r="G12">
        <v>0</v>
      </c>
      <c r="H12">
        <v>0</v>
      </c>
      <c r="I12">
        <v>0</v>
      </c>
      <c r="J12">
        <v>0</v>
      </c>
      <c r="K12">
        <v>0</v>
      </c>
      <c r="L12">
        <v>247</v>
      </c>
      <c r="M12">
        <v>33</v>
      </c>
      <c r="N12">
        <v>214</v>
      </c>
    </row>
    <row r="13" spans="1:14" x14ac:dyDescent="0.3">
      <c r="A13" s="10" t="s">
        <v>80</v>
      </c>
      <c r="B13" t="s">
        <v>73</v>
      </c>
      <c r="C13" t="s">
        <v>75</v>
      </c>
      <c r="D13">
        <v>45</v>
      </c>
      <c r="E13">
        <v>43</v>
      </c>
      <c r="F13">
        <v>43</v>
      </c>
      <c r="G13">
        <v>212</v>
      </c>
      <c r="H13">
        <v>8</v>
      </c>
      <c r="I13">
        <v>7</v>
      </c>
      <c r="J13">
        <v>204</v>
      </c>
      <c r="K13">
        <v>204</v>
      </c>
      <c r="L13">
        <v>247</v>
      </c>
      <c r="M13">
        <v>10</v>
      </c>
      <c r="N13">
        <v>237</v>
      </c>
    </row>
    <row r="14" spans="1:14" x14ac:dyDescent="0.3">
      <c r="A14" s="10" t="s">
        <v>81</v>
      </c>
      <c r="B14" t="s">
        <v>73</v>
      </c>
      <c r="C14" t="s">
        <v>74</v>
      </c>
      <c r="D14">
        <v>248</v>
      </c>
      <c r="E14">
        <v>219</v>
      </c>
      <c r="F14">
        <v>219</v>
      </c>
      <c r="G14">
        <v>0</v>
      </c>
      <c r="H14">
        <v>0</v>
      </c>
      <c r="I14">
        <v>0</v>
      </c>
      <c r="J14">
        <v>0</v>
      </c>
      <c r="K14">
        <v>0</v>
      </c>
      <c r="L14">
        <v>220</v>
      </c>
      <c r="M14">
        <v>29</v>
      </c>
      <c r="N14">
        <v>191</v>
      </c>
    </row>
    <row r="15" spans="1:14" x14ac:dyDescent="0.3">
      <c r="A15" s="10" t="s">
        <v>81</v>
      </c>
      <c r="B15" t="s">
        <v>73</v>
      </c>
      <c r="C15" t="s">
        <v>75</v>
      </c>
      <c r="D15">
        <v>45</v>
      </c>
      <c r="E15">
        <v>38</v>
      </c>
      <c r="F15">
        <v>38</v>
      </c>
      <c r="G15">
        <v>183</v>
      </c>
      <c r="H15">
        <v>9</v>
      </c>
      <c r="I15">
        <v>9</v>
      </c>
      <c r="J15">
        <v>174</v>
      </c>
      <c r="K15">
        <v>174</v>
      </c>
      <c r="L15">
        <v>220</v>
      </c>
      <c r="M15">
        <v>18</v>
      </c>
      <c r="N15">
        <v>202</v>
      </c>
    </row>
    <row r="16" spans="1:14" x14ac:dyDescent="0.3">
      <c r="A16" s="10" t="s">
        <v>82</v>
      </c>
      <c r="B16" t="s">
        <v>73</v>
      </c>
      <c r="C16" t="s">
        <v>74</v>
      </c>
      <c r="D16">
        <v>319</v>
      </c>
      <c r="E16">
        <v>295</v>
      </c>
      <c r="F16">
        <v>295</v>
      </c>
      <c r="G16">
        <v>0</v>
      </c>
      <c r="H16">
        <v>0</v>
      </c>
      <c r="I16">
        <v>0</v>
      </c>
      <c r="J16">
        <v>0</v>
      </c>
      <c r="K16">
        <v>0</v>
      </c>
      <c r="L16">
        <v>261</v>
      </c>
      <c r="M16">
        <v>24</v>
      </c>
      <c r="N16">
        <v>237</v>
      </c>
    </row>
    <row r="17" spans="1:14" x14ac:dyDescent="0.3">
      <c r="A17" s="10" t="s">
        <v>82</v>
      </c>
      <c r="B17" t="s">
        <v>73</v>
      </c>
      <c r="C17" t="s">
        <v>75</v>
      </c>
      <c r="D17">
        <v>66</v>
      </c>
      <c r="E17">
        <v>61</v>
      </c>
      <c r="F17">
        <v>61</v>
      </c>
      <c r="G17">
        <v>210</v>
      </c>
      <c r="H17">
        <v>11</v>
      </c>
      <c r="I17">
        <v>5</v>
      </c>
      <c r="J17">
        <v>199</v>
      </c>
      <c r="K17">
        <v>199</v>
      </c>
      <c r="L17">
        <v>261</v>
      </c>
      <c r="M17">
        <v>12</v>
      </c>
      <c r="N17">
        <v>249</v>
      </c>
    </row>
    <row r="18" spans="1:14" x14ac:dyDescent="0.3">
      <c r="A18" s="10" t="s">
        <v>83</v>
      </c>
      <c r="B18" t="s">
        <v>73</v>
      </c>
      <c r="C18" t="s">
        <v>74</v>
      </c>
      <c r="D18">
        <v>304</v>
      </c>
      <c r="E18">
        <v>281</v>
      </c>
      <c r="F18">
        <v>281</v>
      </c>
      <c r="G18">
        <v>0</v>
      </c>
      <c r="H18">
        <v>0</v>
      </c>
      <c r="I18">
        <v>0</v>
      </c>
      <c r="J18">
        <v>0</v>
      </c>
      <c r="K18">
        <v>0</v>
      </c>
      <c r="L18">
        <v>238</v>
      </c>
      <c r="M18">
        <v>23</v>
      </c>
      <c r="N18">
        <v>215</v>
      </c>
    </row>
    <row r="19" spans="1:14" x14ac:dyDescent="0.3">
      <c r="A19" s="10" t="s">
        <v>83</v>
      </c>
      <c r="B19" t="s">
        <v>73</v>
      </c>
      <c r="C19" t="s">
        <v>75</v>
      </c>
      <c r="D19">
        <v>44</v>
      </c>
      <c r="E19">
        <v>37</v>
      </c>
      <c r="F19">
        <v>37</v>
      </c>
      <c r="G19">
        <v>209</v>
      </c>
      <c r="H19">
        <v>13</v>
      </c>
      <c r="I19">
        <v>18</v>
      </c>
      <c r="J19">
        <v>196</v>
      </c>
      <c r="K19">
        <v>196</v>
      </c>
      <c r="L19">
        <v>238</v>
      </c>
      <c r="M19">
        <v>11</v>
      </c>
      <c r="N19">
        <v>227</v>
      </c>
    </row>
    <row r="20" spans="1:14" x14ac:dyDescent="0.3">
      <c r="A20" s="10" t="s">
        <v>84</v>
      </c>
      <c r="B20" t="s">
        <v>73</v>
      </c>
      <c r="C20" t="s">
        <v>74</v>
      </c>
      <c r="D20">
        <v>321</v>
      </c>
      <c r="E20">
        <v>294</v>
      </c>
      <c r="F20">
        <v>294</v>
      </c>
      <c r="G20">
        <v>0</v>
      </c>
      <c r="H20">
        <v>0</v>
      </c>
      <c r="I20">
        <v>0</v>
      </c>
      <c r="J20">
        <v>0</v>
      </c>
      <c r="K20">
        <v>0</v>
      </c>
      <c r="L20">
        <v>253</v>
      </c>
      <c r="M20">
        <v>27</v>
      </c>
      <c r="N20">
        <v>226</v>
      </c>
    </row>
    <row r="21" spans="1:14" x14ac:dyDescent="0.3">
      <c r="A21" s="10" t="s">
        <v>84</v>
      </c>
      <c r="B21" t="s">
        <v>73</v>
      </c>
      <c r="C21" t="s">
        <v>75</v>
      </c>
      <c r="D21">
        <v>46</v>
      </c>
      <c r="E21">
        <v>42</v>
      </c>
      <c r="F21">
        <v>42</v>
      </c>
      <c r="G21">
        <v>210</v>
      </c>
      <c r="H21">
        <v>12</v>
      </c>
      <c r="I21">
        <v>6</v>
      </c>
      <c r="J21">
        <v>198</v>
      </c>
      <c r="K21">
        <v>198</v>
      </c>
      <c r="L21">
        <v>253</v>
      </c>
      <c r="M21">
        <v>18</v>
      </c>
      <c r="N21">
        <v>235</v>
      </c>
    </row>
    <row r="22" spans="1:14" x14ac:dyDescent="0.3">
      <c r="A22" s="10" t="s">
        <v>85</v>
      </c>
      <c r="B22" t="s">
        <v>73</v>
      </c>
      <c r="C22" t="s">
        <v>74</v>
      </c>
      <c r="D22">
        <v>300</v>
      </c>
      <c r="E22">
        <v>285</v>
      </c>
      <c r="F22">
        <v>285</v>
      </c>
      <c r="G22">
        <v>0</v>
      </c>
      <c r="H22">
        <v>0</v>
      </c>
      <c r="I22">
        <v>0</v>
      </c>
      <c r="J22">
        <v>0</v>
      </c>
      <c r="K22">
        <v>0</v>
      </c>
      <c r="L22">
        <v>239</v>
      </c>
      <c r="M22">
        <v>15</v>
      </c>
      <c r="N22">
        <v>224</v>
      </c>
    </row>
    <row r="23" spans="1:14" x14ac:dyDescent="0.3">
      <c r="A23" s="10" t="s">
        <v>85</v>
      </c>
      <c r="B23" t="s">
        <v>73</v>
      </c>
      <c r="C23" t="s">
        <v>75</v>
      </c>
      <c r="D23">
        <v>31</v>
      </c>
      <c r="E23">
        <v>30</v>
      </c>
      <c r="F23">
        <v>30</v>
      </c>
      <c r="G23">
        <v>212</v>
      </c>
      <c r="H23">
        <v>7</v>
      </c>
      <c r="I23">
        <v>12</v>
      </c>
      <c r="J23">
        <v>205</v>
      </c>
      <c r="K23">
        <v>205</v>
      </c>
      <c r="L23">
        <v>239</v>
      </c>
      <c r="M23">
        <v>9</v>
      </c>
      <c r="N23">
        <v>230</v>
      </c>
    </row>
    <row r="24" spans="1:14" x14ac:dyDescent="0.3">
      <c r="A24" s="10" t="s">
        <v>86</v>
      </c>
      <c r="B24" t="s">
        <v>77</v>
      </c>
      <c r="C24" t="s">
        <v>74</v>
      </c>
      <c r="D24">
        <v>519</v>
      </c>
      <c r="E24">
        <v>474</v>
      </c>
      <c r="F24">
        <v>474</v>
      </c>
      <c r="G24">
        <v>0</v>
      </c>
      <c r="H24">
        <v>0</v>
      </c>
      <c r="I24">
        <v>0</v>
      </c>
      <c r="J24">
        <v>0</v>
      </c>
      <c r="K24">
        <v>0</v>
      </c>
      <c r="L24">
        <v>410</v>
      </c>
      <c r="M24">
        <v>45</v>
      </c>
      <c r="N24">
        <v>365</v>
      </c>
    </row>
    <row r="25" spans="1:14" x14ac:dyDescent="0.3">
      <c r="A25" s="10" t="s">
        <v>86</v>
      </c>
      <c r="B25" t="s">
        <v>77</v>
      </c>
      <c r="C25" t="s">
        <v>75</v>
      </c>
      <c r="D25">
        <v>78</v>
      </c>
      <c r="E25">
        <v>69</v>
      </c>
      <c r="F25">
        <v>69</v>
      </c>
      <c r="G25">
        <v>343</v>
      </c>
      <c r="H25">
        <v>18</v>
      </c>
      <c r="I25">
        <v>19</v>
      </c>
      <c r="J25">
        <v>325</v>
      </c>
      <c r="K25">
        <v>325</v>
      </c>
      <c r="L25">
        <v>410</v>
      </c>
      <c r="M25">
        <v>24</v>
      </c>
      <c r="N25">
        <v>386</v>
      </c>
    </row>
    <row r="26" spans="1:14" x14ac:dyDescent="0.3">
      <c r="A26" s="10" t="s">
        <v>87</v>
      </c>
      <c r="B26" t="s">
        <v>73</v>
      </c>
      <c r="C26" t="s">
        <v>74</v>
      </c>
      <c r="D26">
        <v>275</v>
      </c>
      <c r="E26">
        <v>253</v>
      </c>
      <c r="F26">
        <v>253</v>
      </c>
      <c r="G26">
        <v>0</v>
      </c>
      <c r="H26">
        <v>0</v>
      </c>
      <c r="I26">
        <v>0</v>
      </c>
      <c r="J26">
        <v>0</v>
      </c>
      <c r="K26">
        <v>0</v>
      </c>
      <c r="L26">
        <v>230</v>
      </c>
      <c r="M26">
        <v>22</v>
      </c>
      <c r="N26">
        <v>208</v>
      </c>
    </row>
    <row r="27" spans="1:14" x14ac:dyDescent="0.3">
      <c r="A27" s="10" t="s">
        <v>87</v>
      </c>
      <c r="B27" t="s">
        <v>73</v>
      </c>
      <c r="C27" t="s">
        <v>75</v>
      </c>
      <c r="D27">
        <v>45</v>
      </c>
      <c r="E27">
        <v>43</v>
      </c>
      <c r="F27">
        <v>43</v>
      </c>
      <c r="G27">
        <v>202</v>
      </c>
      <c r="H27">
        <v>8</v>
      </c>
      <c r="I27">
        <v>10</v>
      </c>
      <c r="J27">
        <v>194</v>
      </c>
      <c r="K27">
        <v>194</v>
      </c>
      <c r="L27">
        <v>230</v>
      </c>
      <c r="M27">
        <v>4</v>
      </c>
      <c r="N27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ECF5-3EB1-452D-AE7C-D1E5DDC2C62D}">
  <dimension ref="A1:K16"/>
  <sheetViews>
    <sheetView workbookViewId="0"/>
  </sheetViews>
  <sheetFormatPr baseColWidth="10" defaultRowHeight="14.4" x14ac:dyDescent="0.3"/>
  <cols>
    <col min="1" max="1" width="72.77734375" bestFit="1" customWidth="1"/>
    <col min="2" max="2" width="10.21875" bestFit="1" customWidth="1"/>
    <col min="3" max="3" width="10.77734375" bestFit="1" customWidth="1"/>
    <col min="4" max="4" width="11.21875" bestFit="1" customWidth="1"/>
    <col min="5" max="5" width="14.5546875" bestFit="1" customWidth="1"/>
    <col min="6" max="6" width="22" bestFit="1" customWidth="1"/>
    <col min="7" max="7" width="22.88671875" bestFit="1" customWidth="1"/>
    <col min="8" max="8" width="9.5546875" bestFit="1" customWidth="1"/>
    <col min="9" max="9" width="13.5546875" bestFit="1" customWidth="1"/>
    <col min="10" max="11" width="13.44140625" bestFit="1" customWidth="1"/>
  </cols>
  <sheetData>
    <row r="1" spans="1:11" ht="18" x14ac:dyDescent="0.35">
      <c r="A1" s="2" t="s">
        <v>135</v>
      </c>
    </row>
    <row r="3" spans="1:11" x14ac:dyDescent="0.3">
      <c r="A3" s="3" t="s">
        <v>58</v>
      </c>
      <c r="B3" s="3" t="s">
        <v>59</v>
      </c>
      <c r="C3" s="3" t="s">
        <v>136</v>
      </c>
      <c r="D3" s="3" t="s">
        <v>137</v>
      </c>
      <c r="E3" s="3" t="s">
        <v>138</v>
      </c>
      <c r="F3" s="3" t="s">
        <v>139</v>
      </c>
      <c r="G3" s="3" t="s">
        <v>140</v>
      </c>
      <c r="H3" s="3" t="s">
        <v>141</v>
      </c>
      <c r="I3" s="3" t="s">
        <v>142</v>
      </c>
      <c r="J3" s="3" t="s">
        <v>143</v>
      </c>
      <c r="K3" s="3" t="s">
        <v>144</v>
      </c>
    </row>
    <row r="4" spans="1:11" x14ac:dyDescent="0.3">
      <c r="A4" t="s">
        <v>145</v>
      </c>
      <c r="B4" t="s">
        <v>146</v>
      </c>
      <c r="C4" s="11"/>
      <c r="D4" s="11"/>
      <c r="E4" s="11"/>
      <c r="F4" s="9"/>
      <c r="G4" s="9"/>
      <c r="H4" s="9"/>
      <c r="I4" s="9"/>
      <c r="J4" s="9">
        <f>-Supuestos!D20</f>
        <v>-1000000</v>
      </c>
      <c r="K4" s="9">
        <f>J4</f>
        <v>-1000000</v>
      </c>
    </row>
    <row r="5" spans="1:11" x14ac:dyDescent="0.3">
      <c r="A5" s="10" t="str">
        <f>Conteos!A4</f>
        <v>2026-01</v>
      </c>
      <c r="B5" t="str">
        <f>Conteos!B4</f>
        <v>no feria</v>
      </c>
      <c r="C5" s="11">
        <f>Conteos!D4*Supuestos!$D$11+Conteos!E4*Supuestos!$D$12+Conteos!F4*Supuestos!$D$13+Conteos!G4*Supuestos!$D$14+Conteos!H4*Supuestos!$D$15+Conteos!I4*Supuestos!$D$16+Conteos!J4*Supuestos!$D$17</f>
        <v>957</v>
      </c>
      <c r="D5" s="11">
        <f>Conteos!D5*Supuestos!$D$11+Conteos!E5*Supuestos!$D$12+Conteos!F5*Supuestos!$D$13+Conteos!G5*Supuestos!$D$14+Conteos!H5*Supuestos!$D$15+Conteos!I5*Supuestos!$D$16+Conteos!J5*Supuestos!$D$17</f>
        <v>439</v>
      </c>
      <c r="E5" s="11">
        <f>C5-D5</f>
        <v>518</v>
      </c>
      <c r="F5" s="9">
        <f>IF(B5="feria",E5*Supuestos!$D$8,0)</f>
        <v>0</v>
      </c>
      <c r="G5" s="9">
        <f>IF(B5="no feria",E5*Supuestos!$D$8*Supuestos!$D$24,0)</f>
        <v>101852.86403692825</v>
      </c>
      <c r="H5" s="9">
        <f>Conteos!K5*Supuestos!$D$19*Supuestos!$D$23</f>
        <v>0</v>
      </c>
      <c r="I5" s="9">
        <f>Supuestos!$D$22/12</f>
        <v>12500</v>
      </c>
      <c r="J5" s="9">
        <f>F5+G5-H5-I5</f>
        <v>89352.864036928251</v>
      </c>
      <c r="K5" s="9">
        <f>K4+J5</f>
        <v>-910647.13596307172</v>
      </c>
    </row>
    <row r="6" spans="1:11" x14ac:dyDescent="0.3">
      <c r="A6" s="10" t="str">
        <f>Conteos!A6</f>
        <v>2026-02</v>
      </c>
      <c r="B6" t="str">
        <f>Conteos!B6</f>
        <v>feria</v>
      </c>
      <c r="C6" s="11">
        <f>Conteos!D6*Supuestos!$D$11+Conteos!E6*Supuestos!$D$12+Conteos!F6*Supuestos!$D$13+Conteos!G6*Supuestos!$D$14+Conteos!H6*Supuestos!$D$15+Conteos!I6*Supuestos!$D$16+Conteos!J6*Supuestos!$D$17</f>
        <v>1583</v>
      </c>
      <c r="D6" s="11">
        <f>Conteos!D7*Supuestos!$D$11+Conteos!E7*Supuestos!$D$12+Conteos!F7*Supuestos!$D$13+Conteos!G7*Supuestos!$D$14+Conteos!H7*Supuestos!$D$15+Conteos!I7*Supuestos!$D$16+Conteos!J7*Supuestos!$D$17</f>
        <v>746.25</v>
      </c>
      <c r="E6" s="11">
        <f>C6-D6</f>
        <v>836.75</v>
      </c>
      <c r="F6" s="9">
        <f>IF(B6="feria",E6*Supuestos!$D$8,0)</f>
        <v>164527.76830675619</v>
      </c>
      <c r="G6" s="9">
        <f>IF(B6="no feria",E6*Supuestos!$D$8*Supuestos!$D$24,0)</f>
        <v>0</v>
      </c>
      <c r="H6" s="9">
        <f>Conteos!K7*Supuestos!$D$19*Supuestos!$D$23</f>
        <v>0</v>
      </c>
      <c r="I6" s="9">
        <f>Supuestos!$D$22/12</f>
        <v>12500</v>
      </c>
      <c r="J6" s="9">
        <f>F6+G6-H6-I6</f>
        <v>152027.76830675619</v>
      </c>
      <c r="K6" s="9">
        <f>K5+J6</f>
        <v>-758619.36765631556</v>
      </c>
    </row>
    <row r="7" spans="1:11" x14ac:dyDescent="0.3">
      <c r="A7" s="10" t="str">
        <f>Conteos!A8</f>
        <v>2026-03</v>
      </c>
      <c r="B7" t="str">
        <f>Conteos!B8</f>
        <v>no feria</v>
      </c>
      <c r="C7" s="11">
        <f>Conteos!D8*Supuestos!$D$11+Conteos!E8*Supuestos!$D$12+Conteos!F8*Supuestos!$D$13+Conteos!G8*Supuestos!$D$14+Conteos!H8*Supuestos!$D$15+Conteos!I8*Supuestos!$D$16+Conteos!J8*Supuestos!$D$17</f>
        <v>955</v>
      </c>
      <c r="D7" s="11">
        <f>Conteos!D9*Supuestos!$D$11+Conteos!E9*Supuestos!$D$12+Conteos!F9*Supuestos!$D$13+Conteos!G9*Supuestos!$D$14+Conteos!H9*Supuestos!$D$15+Conteos!I9*Supuestos!$D$16+Conteos!J9*Supuestos!$D$17</f>
        <v>427.5</v>
      </c>
      <c r="E7" s="11">
        <f>C7-D7</f>
        <v>527.5</v>
      </c>
      <c r="F7" s="9">
        <f>IF(B7="feria",E7*Supuestos!$D$8,0)</f>
        <v>0</v>
      </c>
      <c r="G7" s="9">
        <f>IF(B7="no feria",E7*Supuestos!$D$8*Supuestos!$D$24,0)</f>
        <v>103720.82196810743</v>
      </c>
      <c r="H7" s="9">
        <f>Conteos!K9*Supuestos!$D$19*Supuestos!$D$23</f>
        <v>0</v>
      </c>
      <c r="I7" s="9">
        <f>Supuestos!$D$22/12</f>
        <v>12500</v>
      </c>
      <c r="J7" s="9">
        <f>F7+G7-H7-I7</f>
        <v>91220.821968107426</v>
      </c>
      <c r="K7" s="9">
        <f>K6+J7</f>
        <v>-667398.54568820819</v>
      </c>
    </row>
    <row r="8" spans="1:11" x14ac:dyDescent="0.3">
      <c r="A8" s="10" t="str">
        <f>Conteos!A10</f>
        <v>2026-04</v>
      </c>
      <c r="B8" t="str">
        <f>Conteos!B10</f>
        <v>no feria</v>
      </c>
      <c r="C8" s="11">
        <f>Conteos!D10*Supuestos!$D$11+Conteos!E10*Supuestos!$D$12+Conteos!F10*Supuestos!$D$13+Conteos!G10*Supuestos!$D$14+Conteos!H10*Supuestos!$D$15+Conteos!I10*Supuestos!$D$16+Conteos!J10*Supuestos!$D$17</f>
        <v>971</v>
      </c>
      <c r="D8" s="11">
        <f>Conteos!D11*Supuestos!$D$11+Conteos!E11*Supuestos!$D$12+Conteos!F11*Supuestos!$D$13+Conteos!G11*Supuestos!$D$14+Conteos!H11*Supuestos!$D$15+Conteos!I11*Supuestos!$D$16+Conteos!J11*Supuestos!$D$17</f>
        <v>497.5</v>
      </c>
      <c r="E8" s="11">
        <f>C8-D8</f>
        <v>473.5</v>
      </c>
      <c r="F8" s="9">
        <f>IF(B8="feria",E8*Supuestos!$D$8,0)</f>
        <v>0</v>
      </c>
      <c r="G8" s="9">
        <f>IF(B8="no feria",E8*Supuestos!$D$8*Supuestos!$D$24,0)</f>
        <v>93102.955832983644</v>
      </c>
      <c r="H8" s="9">
        <f>Conteos!K11*Supuestos!$D$19*Supuestos!$D$23</f>
        <v>0</v>
      </c>
      <c r="I8" s="9">
        <f>Supuestos!$D$22/12</f>
        <v>12500</v>
      </c>
      <c r="J8" s="9">
        <f>F8+G8-H8-I8</f>
        <v>80602.955832983644</v>
      </c>
      <c r="K8" s="9">
        <f>K7+J8</f>
        <v>-586795.58985522459</v>
      </c>
    </row>
    <row r="9" spans="1:11" x14ac:dyDescent="0.3">
      <c r="A9" s="10" t="str">
        <f>Conteos!A12</f>
        <v>2026-05</v>
      </c>
      <c r="B9" t="str">
        <f>Conteos!B12</f>
        <v>no feria</v>
      </c>
      <c r="C9" s="11">
        <f>Conteos!D12*Supuestos!$D$11+Conteos!E12*Supuestos!$D$12+Conteos!F12*Supuestos!$D$13+Conteos!G12*Supuestos!$D$14+Conteos!H12*Supuestos!$D$15+Conteos!I12*Supuestos!$D$16+Conteos!J12*Supuestos!$D$17</f>
        <v>1019</v>
      </c>
      <c r="D9" s="11">
        <f>Conteos!D13*Supuestos!$D$11+Conteos!E13*Supuestos!$D$12+Conteos!F13*Supuestos!$D$13+Conteos!G13*Supuestos!$D$14+Conteos!H13*Supuestos!$D$15+Conteos!I13*Supuestos!$D$16+Conteos!J13*Supuestos!$D$17</f>
        <v>472.5</v>
      </c>
      <c r="E9" s="11">
        <f>C9-D9</f>
        <v>546.5</v>
      </c>
      <c r="F9" s="9">
        <f>IF(B9="feria",E9*Supuestos!$D$8,0)</f>
        <v>0</v>
      </c>
      <c r="G9" s="9">
        <f>IF(B9="no feria",E9*Supuestos!$D$8*Supuestos!$D$24,0)</f>
        <v>107456.73783046581</v>
      </c>
      <c r="H9" s="9">
        <f>Conteos!K13*Supuestos!$D$19*Supuestos!$D$23</f>
        <v>0</v>
      </c>
      <c r="I9" s="9">
        <f>Supuestos!$D$22/12</f>
        <v>12500</v>
      </c>
      <c r="J9" s="9">
        <f>F9+G9-H9-I9</f>
        <v>94956.737830465805</v>
      </c>
      <c r="K9" s="9">
        <f>K8+J9</f>
        <v>-491838.85202475882</v>
      </c>
    </row>
    <row r="10" spans="1:11" x14ac:dyDescent="0.3">
      <c r="A10" s="10" t="str">
        <f>Conteos!A14</f>
        <v>2026-06</v>
      </c>
      <c r="B10" t="str">
        <f>Conteos!B14</f>
        <v>no feria</v>
      </c>
      <c r="C10" s="11">
        <f>Conteos!D14*Supuestos!$D$11+Conteos!E14*Supuestos!$D$12+Conteos!F14*Supuestos!$D$13+Conteos!G14*Supuestos!$D$14+Conteos!H14*Supuestos!$D$15+Conteos!I14*Supuestos!$D$16+Conteos!J14*Supuestos!$D$17</f>
        <v>810</v>
      </c>
      <c r="D10" s="11">
        <f>Conteos!D15*Supuestos!$D$11+Conteos!E15*Supuestos!$D$12+Conteos!F15*Supuestos!$D$13+Conteos!G15*Supuestos!$D$14+Conteos!H15*Supuestos!$D$15+Conteos!I15*Supuestos!$D$16+Conteos!J15*Supuestos!$D$17</f>
        <v>420.25</v>
      </c>
      <c r="E10" s="11">
        <f>C10-D10</f>
        <v>389.75</v>
      </c>
      <c r="F10" s="9">
        <f>IF(B10="feria",E10*Supuestos!$D$8,0)</f>
        <v>0</v>
      </c>
      <c r="G10" s="9">
        <f>IF(B10="no feria",E10*Supuestos!$D$8*Supuestos!$D$24,0)</f>
        <v>76635.43196600923</v>
      </c>
      <c r="H10" s="9">
        <f>Conteos!K15*Supuestos!$D$19*Supuestos!$D$23</f>
        <v>0</v>
      </c>
      <c r="I10" s="9">
        <f>Supuestos!$D$22/12</f>
        <v>12500</v>
      </c>
      <c r="J10" s="9">
        <f>F10+G10-H10-I10</f>
        <v>64135.43196600923</v>
      </c>
      <c r="K10" s="9">
        <f>K9+J10</f>
        <v>-427703.42005874962</v>
      </c>
    </row>
    <row r="11" spans="1:11" x14ac:dyDescent="0.3">
      <c r="A11" s="10" t="str">
        <f>Conteos!A16</f>
        <v>2026-07</v>
      </c>
      <c r="B11" t="str">
        <f>Conteos!B16</f>
        <v>no feria</v>
      </c>
      <c r="C11" s="11">
        <f>Conteos!D16*Supuestos!$D$11+Conteos!E16*Supuestos!$D$12+Conteos!F16*Supuestos!$D$13+Conteos!G16*Supuestos!$D$14+Conteos!H16*Supuestos!$D$15+Conteos!I16*Supuestos!$D$16+Conteos!J16*Supuestos!$D$17</f>
        <v>1068.5</v>
      </c>
      <c r="D11" s="11">
        <f>Conteos!D17*Supuestos!$D$11+Conteos!E17*Supuestos!$D$12+Conteos!F17*Supuestos!$D$13+Conteos!G17*Supuestos!$D$14+Conteos!H17*Supuestos!$D$15+Conteos!I17*Supuestos!$D$16+Conteos!J17*Supuestos!$D$17</f>
        <v>532.75</v>
      </c>
      <c r="E11" s="11">
        <f>C11-D11</f>
        <v>535.75</v>
      </c>
      <c r="F11" s="9">
        <f>IF(B11="feria",E11*Supuestos!$D$8,0)</f>
        <v>0</v>
      </c>
      <c r="G11" s="9">
        <f>IF(B11="no feria",E11*Supuestos!$D$8*Supuestos!$D$24,0)</f>
        <v>105342.99596097357</v>
      </c>
      <c r="H11" s="9">
        <f>Conteos!K17*Supuestos!$D$19*Supuestos!$D$23</f>
        <v>0</v>
      </c>
      <c r="I11" s="9">
        <f>Supuestos!$D$22/12</f>
        <v>12500</v>
      </c>
      <c r="J11" s="9">
        <f>F11+G11-H11-I11</f>
        <v>92842.995960973567</v>
      </c>
      <c r="K11" s="9">
        <f>K10+J11</f>
        <v>-334860.42409777606</v>
      </c>
    </row>
    <row r="12" spans="1:11" x14ac:dyDescent="0.3">
      <c r="A12" s="10" t="str">
        <f>Conteos!A18</f>
        <v>2026-08</v>
      </c>
      <c r="B12" t="str">
        <f>Conteos!B18</f>
        <v>no feria</v>
      </c>
      <c r="C12" s="11">
        <f>Conteos!D18*Supuestos!$D$11+Conteos!E18*Supuestos!$D$12+Conteos!F18*Supuestos!$D$13+Conteos!G18*Supuestos!$D$14+Conteos!H18*Supuestos!$D$15+Conteos!I18*Supuestos!$D$16+Conteos!J18*Supuestos!$D$17</f>
        <v>1018</v>
      </c>
      <c r="D12" s="11">
        <f>Conteos!D19*Supuestos!$D$11+Conteos!E19*Supuestos!$D$12+Conteos!F19*Supuestos!$D$13+Conteos!G19*Supuestos!$D$14+Conteos!H19*Supuestos!$D$15+Conteos!I19*Supuestos!$D$16+Conteos!J19*Supuestos!$D$17</f>
        <v>461.75</v>
      </c>
      <c r="E12" s="11">
        <f>C12-D12</f>
        <v>556.25</v>
      </c>
      <c r="F12" s="9">
        <f>IF(B12="feria",E12*Supuestos!$D$8,0)</f>
        <v>0</v>
      </c>
      <c r="G12" s="9">
        <f>IF(B12="no feria",E12*Supuestos!$D$8*Supuestos!$D$24,0)</f>
        <v>109373.8525493076</v>
      </c>
      <c r="H12" s="9">
        <f>Conteos!K19*Supuestos!$D$19*Supuestos!$D$23</f>
        <v>0</v>
      </c>
      <c r="I12" s="9">
        <f>Supuestos!$D$22/12</f>
        <v>12500</v>
      </c>
      <c r="J12" s="9">
        <f>F12+G12-H12-I12</f>
        <v>96873.852549307601</v>
      </c>
      <c r="K12" s="9">
        <f>K11+J12</f>
        <v>-237986.57154846846</v>
      </c>
    </row>
    <row r="13" spans="1:11" x14ac:dyDescent="0.3">
      <c r="A13" s="10" t="str">
        <f>Conteos!A20</f>
        <v>2026-09</v>
      </c>
      <c r="B13" t="str">
        <f>Conteos!B20</f>
        <v>no feria</v>
      </c>
      <c r="C13" s="11">
        <f>Conteos!D20*Supuestos!$D$11+Conteos!E20*Supuestos!$D$12+Conteos!F20*Supuestos!$D$13+Conteos!G20*Supuestos!$D$14+Conteos!H20*Supuestos!$D$15+Conteos!I20*Supuestos!$D$16+Conteos!J20*Supuestos!$D$17</f>
        <v>1069.5</v>
      </c>
      <c r="D13" s="11">
        <f>Conteos!D21*Supuestos!$D$11+Conteos!E21*Supuestos!$D$12+Conteos!F21*Supuestos!$D$13+Conteos!G21*Supuestos!$D$14+Conteos!H21*Supuestos!$D$15+Conteos!I21*Supuestos!$D$16+Conteos!J21*Supuestos!$D$17</f>
        <v>465</v>
      </c>
      <c r="E13" s="11">
        <f>C13-D13</f>
        <v>604.5</v>
      </c>
      <c r="F13" s="9">
        <f>IF(B13="feria",E13*Supuestos!$D$8,0)</f>
        <v>0</v>
      </c>
      <c r="G13" s="9">
        <f>IF(B13="no feria",E13*Supuestos!$D$8*Supuestos!$D$24,0)</f>
        <v>118861.11256819135</v>
      </c>
      <c r="H13" s="9">
        <f>Conteos!K21*Supuestos!$D$19*Supuestos!$D$23</f>
        <v>0</v>
      </c>
      <c r="I13" s="9">
        <f>Supuestos!$D$22/12</f>
        <v>12500</v>
      </c>
      <c r="J13" s="9">
        <f>F13+G13-H13-I13</f>
        <v>106361.11256819135</v>
      </c>
      <c r="K13" s="9">
        <f>K12+J13</f>
        <v>-131625.45898027712</v>
      </c>
    </row>
    <row r="14" spans="1:11" x14ac:dyDescent="0.3">
      <c r="A14" s="10" t="str">
        <f>Conteos!A22</f>
        <v>2026-10</v>
      </c>
      <c r="B14" t="str">
        <f>Conteos!B22</f>
        <v>no feria</v>
      </c>
      <c r="C14" s="11">
        <f>Conteos!D22*Supuestos!$D$11+Conteos!E22*Supuestos!$D$12+Conteos!F22*Supuestos!$D$13+Conteos!G22*Supuestos!$D$14+Conteos!H22*Supuestos!$D$15+Conteos!I22*Supuestos!$D$16+Conteos!J22*Supuestos!$D$17</f>
        <v>1020</v>
      </c>
      <c r="D14" s="11">
        <f>Conteos!D23*Supuestos!$D$11+Conteos!E23*Supuestos!$D$12+Conteos!F23*Supuestos!$D$13+Conteos!G23*Supuestos!$D$14+Conteos!H23*Supuestos!$D$15+Conteos!I23*Supuestos!$D$16+Conteos!J23*Supuestos!$D$17</f>
        <v>431.25</v>
      </c>
      <c r="E14" s="11">
        <f>C14-D14</f>
        <v>588.75</v>
      </c>
      <c r="F14" s="9">
        <f>IF(B14="feria",E14*Supuestos!$D$8,0)</f>
        <v>0</v>
      </c>
      <c r="G14" s="9">
        <f>IF(B14="no feria",E14*Supuestos!$D$8*Supuestos!$D$24,0)</f>
        <v>115764.23494544692</v>
      </c>
      <c r="H14" s="9">
        <f>Conteos!K23*Supuestos!$D$19*Supuestos!$D$23</f>
        <v>0</v>
      </c>
      <c r="I14" s="9">
        <f>Supuestos!$D$22/12</f>
        <v>12500</v>
      </c>
      <c r="J14" s="9">
        <f>F14+G14-H14-I14</f>
        <v>103264.23494544692</v>
      </c>
      <c r="K14" s="9">
        <f>K13+J14</f>
        <v>-28361.2240348302</v>
      </c>
    </row>
    <row r="15" spans="1:11" x14ac:dyDescent="0.3">
      <c r="A15" s="10" t="str">
        <f>Conteos!A24</f>
        <v>2026-11</v>
      </c>
      <c r="B15" t="str">
        <f>Conteos!B24</f>
        <v>feria</v>
      </c>
      <c r="C15" s="11">
        <f>Conteos!D24*Supuestos!$D$11+Conteos!E24*Supuestos!$D$12+Conteos!F24*Supuestos!$D$13+Conteos!G24*Supuestos!$D$14+Conteos!H24*Supuestos!$D$15+Conteos!I24*Supuestos!$D$16+Conteos!J24*Supuestos!$D$17</f>
        <v>1726.5</v>
      </c>
      <c r="D15" s="11">
        <f>Conteos!D25*Supuestos!$D$11+Conteos!E25*Supuestos!$D$12+Conteos!F25*Supuestos!$D$13+Conteos!G25*Supuestos!$D$14+Conteos!H25*Supuestos!$D$15+Conteos!I25*Supuestos!$D$16+Conteos!J25*Supuestos!$D$17</f>
        <v>775</v>
      </c>
      <c r="E15" s="11">
        <f>C15-D15</f>
        <v>951.5</v>
      </c>
      <c r="F15" s="9">
        <f>IF(B15="feria",E15*Supuestos!$D$8,0)</f>
        <v>187090.73384389427</v>
      </c>
      <c r="G15" s="9">
        <f>IF(B15="no feria",E15*Supuestos!$D$8*Supuestos!$D$24,0)</f>
        <v>0</v>
      </c>
      <c r="H15" s="9">
        <f>Conteos!K25*Supuestos!$D$19*Supuestos!$D$23</f>
        <v>0</v>
      </c>
      <c r="I15" s="9">
        <f>Supuestos!$D$22/12</f>
        <v>12500</v>
      </c>
      <c r="J15" s="9">
        <f>F15+G15-H15-I15</f>
        <v>174590.73384389427</v>
      </c>
      <c r="K15" s="9">
        <f>K14+J15</f>
        <v>146229.50980906407</v>
      </c>
    </row>
    <row r="16" spans="1:11" x14ac:dyDescent="0.3">
      <c r="A16" s="10" t="str">
        <f>Conteos!A26</f>
        <v>2026-12</v>
      </c>
      <c r="B16" t="str">
        <f>Conteos!B26</f>
        <v>no feria</v>
      </c>
      <c r="C16" s="11">
        <f>Conteos!D26*Supuestos!$D$11+Conteos!E26*Supuestos!$D$12+Conteos!F26*Supuestos!$D$13+Conteos!G26*Supuestos!$D$14+Conteos!H26*Supuestos!$D$15+Conteos!I26*Supuestos!$D$16+Conteos!J26*Supuestos!$D$17</f>
        <v>918.5</v>
      </c>
      <c r="D16" s="11">
        <f>Conteos!D27*Supuestos!$D$11+Conteos!E27*Supuestos!$D$12+Conteos!F27*Supuestos!$D$13+Conteos!G27*Supuestos!$D$14+Conteos!H27*Supuestos!$D$15+Conteos!I27*Supuestos!$D$16+Conteos!J27*Supuestos!$D$17</f>
        <v>460.5</v>
      </c>
      <c r="E16" s="11">
        <f>C16-D16</f>
        <v>458</v>
      </c>
      <c r="F16" s="9">
        <f>IF(B16="feria",E16*Supuestos!$D$8,0)</f>
        <v>0</v>
      </c>
      <c r="G16" s="9">
        <f>IF(B16="no feria",E16*Supuestos!$D$8*Supuestos!$D$24,0)</f>
        <v>90055.234997901804</v>
      </c>
      <c r="H16" s="9">
        <f>Conteos!K27*Supuestos!$D$19*Supuestos!$D$23</f>
        <v>0</v>
      </c>
      <c r="I16" s="9">
        <f>Supuestos!$D$22/12</f>
        <v>12500</v>
      </c>
      <c r="J16" s="9">
        <f>F16+G16-H16-I16</f>
        <v>77555.234997901804</v>
      </c>
      <c r="K16" s="9">
        <f>K15+J16</f>
        <v>223784.74480696587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LEEME</vt:lpstr>
      <vt:lpstr>Opciones</vt:lpstr>
      <vt:lpstr>ROI</vt:lpstr>
      <vt:lpstr>Supuestos</vt:lpstr>
      <vt:lpstr>Conteos</vt:lpstr>
      <vt:lpstr>FlujoMensual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 Ochoa</dc:creator>
  <cp:lastModifiedBy>Ana  Ochoa</cp:lastModifiedBy>
  <dcterms:created xsi:type="dcterms:W3CDTF">2026-10-24T23:08:44Z</dcterms:created>
  <dcterms:modified xsi:type="dcterms:W3CDTF">2026-10-24T23:08:47Z</dcterms:modified>
</cp:coreProperties>
</file>