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OCHOA\Downloads\"/>
    </mc:Choice>
  </mc:AlternateContent>
  <xr:revisionPtr revIDLastSave="0" documentId="13_ncr:1_{F13446B7-E42F-4621-9ED4-F549C9C61FB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ceso BPMN" sheetId="1" r:id="rId1"/>
    <sheet name="Tiemp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2" l="1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  <c r="H19" i="1"/>
  <c r="C9" i="2" l="1"/>
  <c r="D2" i="2" s="1"/>
  <c r="D4" i="2" l="1"/>
  <c r="D5" i="2"/>
  <c r="D6" i="2"/>
  <c r="D7" i="2"/>
  <c r="D8" i="2"/>
  <c r="D3" i="2"/>
  <c r="D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9" authorId="0" shapeId="0" xr:uid="{00000000-0006-0000-0000-000001000000}">
      <text>
        <r>
          <rPr>
            <sz val="10"/>
            <rFont val="Arial"/>
            <family val="2"/>
          </rPr>
          <t>Suma sin reprocesos. Cada devolución (G1, G2, G3, G4) agrega el tiempo de las tareas que se repiten.</t>
        </r>
      </text>
    </comment>
  </commentList>
</comments>
</file>

<file path=xl/sharedStrings.xml><?xml version="1.0" encoding="utf-8"?>
<sst xmlns="http://schemas.openxmlformats.org/spreadsheetml/2006/main" count="125" uniqueCount="74">
  <si>
    <t>Proceso de Solicitud de Crédito – Expomóvil (insumo para diagrama BPMN)</t>
  </si>
  <si>
    <t>ID</t>
  </si>
  <si>
    <t>Carril (Rol)</t>
  </si>
  <si>
    <t>Elemento BPMN</t>
  </si>
  <si>
    <t>Tipo de elemento</t>
  </si>
  <si>
    <t>Descripción</t>
  </si>
  <si>
    <t>Condición / Salida</t>
  </si>
  <si>
    <t>Siguiente elemento</t>
  </si>
  <si>
    <t>Tiempo estimado (días hábiles)</t>
  </si>
  <si>
    <t>E1</t>
  </si>
  <si>
    <t>Persona de Negocio</t>
  </si>
  <si>
    <t>Inicio: Cliente solicita crédito</t>
  </si>
  <si>
    <t>Evento de inicio</t>
  </si>
  <si>
    <t>El cliente manifiesta interés en un crédito de Expomóvil.</t>
  </si>
  <si>
    <t>—</t>
  </si>
  <si>
    <t>T1</t>
  </si>
  <si>
    <t>Crear solicitud</t>
  </si>
  <si>
    <t>Tarea</t>
  </si>
  <si>
    <t>Captura la información del cliente y del producto Expomóvil (monto, plazo, vehículo) y envía la solicitud a Riesgo.</t>
  </si>
  <si>
    <t>T2</t>
  </si>
  <si>
    <t>Persona de Riesgo</t>
  </si>
  <si>
    <t>Evaluar solicitud</t>
  </si>
  <si>
    <t>Evalúa si el cliente es apto para el crédito (perfil, buró, políticas).</t>
  </si>
  <si>
    <t>G1</t>
  </si>
  <si>
    <t>¿Cliente apto?</t>
  </si>
  <si>
    <t>Compuerta exclusiva (XOR)</t>
  </si>
  <si>
    <t>Decisión de Riesgo sobre la solicitud.</t>
  </si>
  <si>
    <t>Sí → continúa
No → devuelve a Negocio para corregir/recapturar</t>
  </si>
  <si>
    <t>Sí: T3
No: T1</t>
  </si>
  <si>
    <t>T3</t>
  </si>
  <si>
    <t>Analista de crédito</t>
  </si>
  <si>
    <t>Analizar crédito</t>
  </si>
  <si>
    <t>Analiza capacidad de pago, riesgo y garantías, y emite una recomendación.</t>
  </si>
  <si>
    <t>G2</t>
  </si>
  <si>
    <t>¿Decisión del análisis?</t>
  </si>
  <si>
    <t>Resultado del análisis de crédito.</t>
  </si>
  <si>
    <t>Aprobar → Legal
Aprobar con condiciones → Negocio modifica datos del crédito
Rechazar → fin</t>
  </si>
  <si>
    <t>Aprobar: T4
Con condiciones: T1
Rechazar: E2</t>
  </si>
  <si>
    <t>E2</t>
  </si>
  <si>
    <t>Fin: Solicitud rechazada</t>
  </si>
  <si>
    <t>Evento de fin</t>
  </si>
  <si>
    <t>El flujo termina por rechazo del crédito.</t>
  </si>
  <si>
    <t>T4</t>
  </si>
  <si>
    <t>Legal</t>
  </si>
  <si>
    <t>Recopilar expediente</t>
  </si>
  <si>
    <t>Reúne todos los documentos del expediente necesarios para gestionar el crédito.</t>
  </si>
  <si>
    <t>G3</t>
  </si>
  <si>
    <t>¿Documentación completa?</t>
  </si>
  <si>
    <t>Valida si el expediente está completo.</t>
  </si>
  <si>
    <t>Sí → escanear
No → sigue recopilando (bucle)</t>
  </si>
  <si>
    <t>Sí: T5
No: T4</t>
  </si>
  <si>
    <t>T5</t>
  </si>
  <si>
    <t>Escanear documentación</t>
  </si>
  <si>
    <t>Digitaliza todo el expediente y lo envía a Despacho.</t>
  </si>
  <si>
    <t>T6</t>
  </si>
  <si>
    <t>Despacho y expediente</t>
  </si>
  <si>
    <t>Verifica que la documentación sea correcta, la autoriza y la envía en sobre a Desembolso.</t>
  </si>
  <si>
    <t>G4</t>
  </si>
  <si>
    <t>¿Documentación OK?</t>
  </si>
  <si>
    <t>Resultado de la verificación del expediente.</t>
  </si>
  <si>
    <t>Sí → Desembolso
No (falta o se rechaza) → devuelve a Legal</t>
  </si>
  <si>
    <t>Sí: T7
No: T4</t>
  </si>
  <si>
    <t>T7</t>
  </si>
  <si>
    <t>Desembolso</t>
  </si>
  <si>
    <t>Desembolso y post-desembolso</t>
  </si>
  <si>
    <t>Verifica el sobre, desembolsa en la cuenta indicada y realiza las gestiones post-desembolso.</t>
  </si>
  <si>
    <t>E3</t>
  </si>
  <si>
    <t>Fin: Crédito desembolsado</t>
  </si>
  <si>
    <t>El flujo termina con el crédito desembolsado.</t>
  </si>
  <si>
    <t>Tiempo total (camino feliz)</t>
  </si>
  <si>
    <t>Leyenda</t>
  </si>
  <si>
    <t>Actividad</t>
  </si>
  <si>
    <t>% del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</si>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</sst>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sz val="10"/>
      <color rgb="FF008000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4" fontId="9" fillId="0" borderId="1" xfId="0" applyNumberFormat="1" applyFont="1" applyBorder="1"/>
    <xf numFmtId="0" fontId="6" fillId="0" borderId="0" xfId="0" applyFont="1" applyAlignment="1">
      <alignment horizontal="center"/>
    </xf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Tiempo por actividad (días hábiles)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Tiempos!$C$1</c:f>
              <c:strCache>
                <c:ptCount val="1"/>
                <c:pt idx="0">
                  <c:v>Tiempo estimado (días hábiles)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Tiempos!$B$2:$B$8</c:f>
              <c:strCache>
                <c:ptCount val="7"/>
                <c:pt idx="0">
                  <c:v>Crear solicitud</c:v>
                </c:pt>
                <c:pt idx="1">
                  <c:v>Evaluar solicitud</c:v>
                </c:pt>
                <c:pt idx="2">
                  <c:v>Analizar crédito</c:v>
                </c:pt>
                <c:pt idx="3">
                  <c:v>Recopilar expediente</c:v>
                </c:pt>
                <c:pt idx="4">
                  <c:v>Escanear documentación</c:v>
                </c:pt>
                <c:pt idx="5">
                  <c:v>Despacho y expediente</c:v>
                </c:pt>
                <c:pt idx="6">
                  <c:v>Desembolso y post-desembolso</c:v>
                </c:pt>
              </c:strCache>
            </c:strRef>
          </c:cat>
          <c:val>
            <c:numRef>
              <c:f>Tiempos!$C$2:$C$8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8-41F4-99B2-DC5236E09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225856"/>
        <c:axId val="16706104"/>
      </c:barChart>
      <c:catAx>
        <c:axId val="832258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16706104"/>
        <c:crosses val="autoZero"/>
        <c:auto val="1"/>
        <c:lblAlgn val="ctr"/>
        <c:lblOffset val="100"/>
        <c:noMultiLvlLbl val="0"/>
      </c:catAx>
      <c:valAx>
        <c:axId val="1670610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Días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32258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190440</xdr:rowOff>
    </xdr:from>
    <xdr:to>
      <xdr:col>14</xdr:col>
      <xdr:colOff>255960</xdr:colOff>
      <xdr:row>15</xdr:row>
      <xdr:rowOff>61920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pane ySplit="4" topLeftCell="A8" activePane="bottomLeft" state="frozen"/>
      <selection pane="bottomLeft" activeCell="B1" sqref="B1"/>
    </sheetView>
  </sheetViews>
  <sheetFormatPr baseColWidth="10" defaultColWidth="8.6640625" defaultRowHeight="14.4" x14ac:dyDescent="0.3"/>
  <cols>
    <col min="1" max="1" width="6" customWidth="1"/>
    <col min="2" max="2" width="20" customWidth="1"/>
    <col min="3" max="3" width="30" customWidth="1"/>
    <col min="4" max="4" width="22" customWidth="1"/>
    <col min="5" max="5" width="48" customWidth="1"/>
    <col min="6" max="6" width="40" customWidth="1"/>
    <col min="7" max="7" width="22" customWidth="1"/>
    <col min="8" max="8" width="16" customWidth="1"/>
  </cols>
  <sheetData>
    <row r="1" spans="1:8" ht="17.399999999999999" x14ac:dyDescent="0.3">
      <c r="A1" s="1" t="s">
        <v>0</v>
      </c>
    </row>
    <row r="2" spans="1:8" x14ac:dyDescent="0.3">
      <c r="A2" s="2"/>
    </row>
    <row r="4" spans="1:8" ht="41.4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8" x14ac:dyDescent="0.3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4" t="s">
        <v>14</v>
      </c>
    </row>
    <row r="6" spans="1:8" ht="39.6" x14ac:dyDescent="0.3">
      <c r="A6" s="6" t="s">
        <v>15</v>
      </c>
      <c r="B6" s="7" t="s">
        <v>10</v>
      </c>
      <c r="C6" s="7" t="s">
        <v>16</v>
      </c>
      <c r="D6" s="7" t="s">
        <v>17</v>
      </c>
      <c r="E6" s="7" t="s">
        <v>18</v>
      </c>
      <c r="F6" s="7" t="s">
        <v>14</v>
      </c>
      <c r="G6" s="7" t="s">
        <v>19</v>
      </c>
      <c r="H6" s="8">
        <v>1</v>
      </c>
    </row>
    <row r="7" spans="1:8" ht="26.4" x14ac:dyDescent="0.3">
      <c r="A7" s="6" t="s">
        <v>19</v>
      </c>
      <c r="B7" s="7" t="s">
        <v>20</v>
      </c>
      <c r="C7" s="7" t="s">
        <v>21</v>
      </c>
      <c r="D7" s="7" t="s">
        <v>17</v>
      </c>
      <c r="E7" s="7" t="s">
        <v>22</v>
      </c>
      <c r="F7" s="7" t="s">
        <v>14</v>
      </c>
      <c r="G7" s="7" t="s">
        <v>23</v>
      </c>
      <c r="H7" s="8">
        <v>1</v>
      </c>
    </row>
    <row r="8" spans="1:8" ht="39.6" x14ac:dyDescent="0.3">
      <c r="A8" s="9" t="s">
        <v>23</v>
      </c>
      <c r="B8" s="10" t="s">
        <v>20</v>
      </c>
      <c r="C8" s="10" t="s">
        <v>24</v>
      </c>
      <c r="D8" s="10" t="s">
        <v>25</v>
      </c>
      <c r="E8" s="10" t="s">
        <v>26</v>
      </c>
      <c r="F8" s="10" t="s">
        <v>27</v>
      </c>
      <c r="G8" s="10" t="s">
        <v>28</v>
      </c>
      <c r="H8" s="9" t="s">
        <v>14</v>
      </c>
    </row>
    <row r="9" spans="1:8" ht="26.4" x14ac:dyDescent="0.3">
      <c r="A9" s="6" t="s">
        <v>29</v>
      </c>
      <c r="B9" s="7" t="s">
        <v>30</v>
      </c>
      <c r="C9" s="7" t="s">
        <v>31</v>
      </c>
      <c r="D9" s="7" t="s">
        <v>17</v>
      </c>
      <c r="E9" s="7" t="s">
        <v>32</v>
      </c>
      <c r="F9" s="7" t="s">
        <v>14</v>
      </c>
      <c r="G9" s="7" t="s">
        <v>33</v>
      </c>
      <c r="H9" s="8">
        <v>2</v>
      </c>
    </row>
    <row r="10" spans="1:8" ht="52.8" x14ac:dyDescent="0.3">
      <c r="A10" s="9" t="s">
        <v>33</v>
      </c>
      <c r="B10" s="10" t="s">
        <v>30</v>
      </c>
      <c r="C10" s="10" t="s">
        <v>34</v>
      </c>
      <c r="D10" s="10" t="s">
        <v>25</v>
      </c>
      <c r="E10" s="10" t="s">
        <v>35</v>
      </c>
      <c r="F10" s="10" t="s">
        <v>36</v>
      </c>
      <c r="G10" s="10" t="s">
        <v>37</v>
      </c>
      <c r="H10" s="9" t="s">
        <v>14</v>
      </c>
    </row>
    <row r="11" spans="1:8" x14ac:dyDescent="0.3">
      <c r="A11" s="11" t="s">
        <v>38</v>
      </c>
      <c r="B11" s="12" t="s">
        <v>30</v>
      </c>
      <c r="C11" s="12" t="s">
        <v>39</v>
      </c>
      <c r="D11" s="12" t="s">
        <v>40</v>
      </c>
      <c r="E11" s="12" t="s">
        <v>41</v>
      </c>
      <c r="F11" s="12" t="s">
        <v>14</v>
      </c>
      <c r="G11" s="12" t="s">
        <v>14</v>
      </c>
      <c r="H11" s="11" t="s">
        <v>14</v>
      </c>
    </row>
    <row r="12" spans="1:8" ht="26.4" x14ac:dyDescent="0.3">
      <c r="A12" s="6" t="s">
        <v>42</v>
      </c>
      <c r="B12" s="7" t="s">
        <v>43</v>
      </c>
      <c r="C12" s="7" t="s">
        <v>44</v>
      </c>
      <c r="D12" s="7" t="s">
        <v>17</v>
      </c>
      <c r="E12" s="7" t="s">
        <v>45</v>
      </c>
      <c r="F12" s="7" t="s">
        <v>14</v>
      </c>
      <c r="G12" s="7" t="s">
        <v>46</v>
      </c>
      <c r="H12" s="8">
        <v>5</v>
      </c>
    </row>
    <row r="13" spans="1:8" ht="26.4" x14ac:dyDescent="0.3">
      <c r="A13" s="9" t="s">
        <v>46</v>
      </c>
      <c r="B13" s="10" t="s">
        <v>43</v>
      </c>
      <c r="C13" s="10" t="s">
        <v>47</v>
      </c>
      <c r="D13" s="10" t="s">
        <v>25</v>
      </c>
      <c r="E13" s="10" t="s">
        <v>48</v>
      </c>
      <c r="F13" s="10" t="s">
        <v>49</v>
      </c>
      <c r="G13" s="10" t="s">
        <v>50</v>
      </c>
      <c r="H13" s="9" t="s">
        <v>14</v>
      </c>
    </row>
    <row r="14" spans="1:8" x14ac:dyDescent="0.3">
      <c r="A14" s="6" t="s">
        <v>51</v>
      </c>
      <c r="B14" s="7" t="s">
        <v>43</v>
      </c>
      <c r="C14" s="7" t="s">
        <v>52</v>
      </c>
      <c r="D14" s="7" t="s">
        <v>17</v>
      </c>
      <c r="E14" s="7" t="s">
        <v>53</v>
      </c>
      <c r="F14" s="7" t="s">
        <v>14</v>
      </c>
      <c r="G14" s="7" t="s">
        <v>54</v>
      </c>
      <c r="H14" s="8">
        <v>3</v>
      </c>
    </row>
    <row r="15" spans="1:8" ht="26.4" x14ac:dyDescent="0.3">
      <c r="A15" s="6" t="s">
        <v>54</v>
      </c>
      <c r="B15" s="7" t="s">
        <v>30</v>
      </c>
      <c r="C15" s="7" t="s">
        <v>55</v>
      </c>
      <c r="D15" s="7" t="s">
        <v>17</v>
      </c>
      <c r="E15" s="7" t="s">
        <v>56</v>
      </c>
      <c r="F15" s="7" t="s">
        <v>14</v>
      </c>
      <c r="G15" s="7" t="s">
        <v>57</v>
      </c>
      <c r="H15" s="8">
        <v>4</v>
      </c>
    </row>
    <row r="16" spans="1:8" ht="26.4" x14ac:dyDescent="0.3">
      <c r="A16" s="9" t="s">
        <v>57</v>
      </c>
      <c r="B16" s="10" t="s">
        <v>30</v>
      </c>
      <c r="C16" s="10" t="s">
        <v>58</v>
      </c>
      <c r="D16" s="10" t="s">
        <v>25</v>
      </c>
      <c r="E16" s="10" t="s">
        <v>59</v>
      </c>
      <c r="F16" s="10" t="s">
        <v>60</v>
      </c>
      <c r="G16" s="10" t="s">
        <v>61</v>
      </c>
      <c r="H16" s="9" t="s">
        <v>14</v>
      </c>
    </row>
    <row r="17" spans="1:8" ht="26.4" x14ac:dyDescent="0.3">
      <c r="A17" s="6" t="s">
        <v>62</v>
      </c>
      <c r="B17" s="7" t="s">
        <v>63</v>
      </c>
      <c r="C17" s="7" t="s">
        <v>64</v>
      </c>
      <c r="D17" s="7" t="s">
        <v>17</v>
      </c>
      <c r="E17" s="7" t="s">
        <v>65</v>
      </c>
      <c r="F17" s="7" t="s">
        <v>14</v>
      </c>
      <c r="G17" s="7" t="s">
        <v>66</v>
      </c>
      <c r="H17" s="8">
        <v>1</v>
      </c>
    </row>
    <row r="18" spans="1:8" x14ac:dyDescent="0.3">
      <c r="A18" s="11" t="s">
        <v>66</v>
      </c>
      <c r="B18" s="12" t="s">
        <v>63</v>
      </c>
      <c r="C18" s="12" t="s">
        <v>67</v>
      </c>
      <c r="D18" s="12" t="s">
        <v>40</v>
      </c>
      <c r="E18" s="12" t="s">
        <v>68</v>
      </c>
      <c r="F18" s="12" t="s">
        <v>14</v>
      </c>
      <c r="G18" s="12" t="s">
        <v>14</v>
      </c>
      <c r="H18" s="11" t="s">
        <v>14</v>
      </c>
    </row>
    <row r="19" spans="1:8" x14ac:dyDescent="0.3">
      <c r="G19" s="13" t="s">
        <v>69</v>
      </c>
      <c r="H19" s="14">
        <f>SUM(H5:H18)</f>
        <v>17</v>
      </c>
    </row>
    <row r="21" spans="1:8" x14ac:dyDescent="0.3">
      <c r="A21" s="13" t="s">
        <v>70</v>
      </c>
    </row>
    <row r="22" spans="1:8" x14ac:dyDescent="0.3">
      <c r="B22" s="15" t="s">
        <v>12</v>
      </c>
    </row>
    <row r="23" spans="1:8" x14ac:dyDescent="0.3">
      <c r="B23" s="16" t="s">
        <v>17</v>
      </c>
    </row>
    <row r="24" spans="1:8" x14ac:dyDescent="0.3">
      <c r="B24" s="17" t="s">
        <v>25</v>
      </c>
    </row>
    <row r="25" spans="1:8" x14ac:dyDescent="0.3">
      <c r="B25" s="18" t="s">
        <v>40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zoomScaleNormal="100" workbookViewId="0">
      <selection activeCell="B18" sqref="B18"/>
    </sheetView>
  </sheetViews>
  <sheetFormatPr baseColWidth="10" defaultColWidth="8.6640625" defaultRowHeight="14.4" x14ac:dyDescent="0.3"/>
  <cols>
    <col min="1" max="1" width="22" customWidth="1"/>
    <col min="2" max="2" width="32" customWidth="1"/>
    <col min="3" max="3" width="18" customWidth="1"/>
    <col min="4" max="4" width="12" customWidth="1"/>
  </cols>
  <sheetData>
    <row r="1" spans="1:4" ht="28.2" x14ac:dyDescent="0.3">
      <c r="A1" s="19" t="s">
        <v>2</v>
      </c>
      <c r="B1" s="19" t="s">
        <v>71</v>
      </c>
      <c r="C1" s="19" t="s">
        <v>8</v>
      </c>
      <c r="D1" s="19" t="s">
        <v>72</v>
      </c>
    </row>
    <row r="2" spans="1:4" x14ac:dyDescent="0.3">
      <c r="A2" s="20" t="str">
        <f>'Proceso BPMN'!B6</f>
        <v>Persona de Negocio</v>
      </c>
      <c r="B2" s="20" t="str">
        <f>'Proceso BPMN'!C6</f>
        <v>Crear solicitud</v>
      </c>
      <c r="C2" s="21">
        <f>'Proceso BPMN'!H6</f>
        <v>1</v>
      </c>
      <c r="D2" s="22">
        <f t="shared" ref="D2:D8" si="0">C2/$C$9</f>
        <v>5.8823529411764705E-2</v>
      </c>
    </row>
    <row r="3" spans="1:4" x14ac:dyDescent="0.3">
      <c r="A3" s="20" t="str">
        <f>'Proceso BPMN'!B7</f>
        <v>Persona de Riesgo</v>
      </c>
      <c r="B3" s="20" t="str">
        <f>'Proceso BPMN'!C7</f>
        <v>Evaluar solicitud</v>
      </c>
      <c r="C3" s="21">
        <f>'Proceso BPMN'!H7</f>
        <v>1</v>
      </c>
      <c r="D3" s="22">
        <f t="shared" si="0"/>
        <v>5.8823529411764705E-2</v>
      </c>
    </row>
    <row r="4" spans="1:4" x14ac:dyDescent="0.3">
      <c r="A4" s="20" t="str">
        <f>'Proceso BPMN'!B9</f>
        <v>Analista de crédito</v>
      </c>
      <c r="B4" s="20" t="str">
        <f>'Proceso BPMN'!C9</f>
        <v>Analizar crédito</v>
      </c>
      <c r="C4" s="21">
        <f>'Proceso BPMN'!H9</f>
        <v>2</v>
      </c>
      <c r="D4" s="22">
        <f t="shared" si="0"/>
        <v>0.11764705882352941</v>
      </c>
    </row>
    <row r="5" spans="1:4" x14ac:dyDescent="0.3">
      <c r="A5" s="20" t="str">
        <f>'Proceso BPMN'!B12</f>
        <v>Legal</v>
      </c>
      <c r="B5" s="20" t="str">
        <f>'Proceso BPMN'!C12</f>
        <v>Recopilar expediente</v>
      </c>
      <c r="C5" s="21">
        <f>'Proceso BPMN'!H12</f>
        <v>5</v>
      </c>
      <c r="D5" s="22">
        <f t="shared" si="0"/>
        <v>0.29411764705882354</v>
      </c>
    </row>
    <row r="6" spans="1:4" x14ac:dyDescent="0.3">
      <c r="A6" s="20" t="str">
        <f>'Proceso BPMN'!B14</f>
        <v>Legal</v>
      </c>
      <c r="B6" s="20" t="str">
        <f>'Proceso BPMN'!C14</f>
        <v>Escanear documentación</v>
      </c>
      <c r="C6" s="21">
        <f>'Proceso BPMN'!H14</f>
        <v>3</v>
      </c>
      <c r="D6" s="22">
        <f t="shared" si="0"/>
        <v>0.17647058823529413</v>
      </c>
    </row>
    <row r="7" spans="1:4" x14ac:dyDescent="0.3">
      <c r="A7" s="20" t="str">
        <f>'Proceso BPMN'!B15</f>
        <v>Analista de crédito</v>
      </c>
      <c r="B7" s="20" t="str">
        <f>'Proceso BPMN'!C15</f>
        <v>Despacho y expediente</v>
      </c>
      <c r="C7" s="21">
        <f>'Proceso BPMN'!H15</f>
        <v>4</v>
      </c>
      <c r="D7" s="22">
        <f t="shared" si="0"/>
        <v>0.23529411764705882</v>
      </c>
    </row>
    <row r="8" spans="1:4" x14ac:dyDescent="0.3">
      <c r="A8" s="20" t="str">
        <f>'Proceso BPMN'!B17</f>
        <v>Desembolso</v>
      </c>
      <c r="B8" s="20" t="str">
        <f>'Proceso BPMN'!C17</f>
        <v>Desembolso y post-desembolso</v>
      </c>
      <c r="C8" s="21">
        <f>'Proceso BPMN'!H17</f>
        <v>1</v>
      </c>
      <c r="D8" s="22">
        <f t="shared" si="0"/>
        <v>5.8823529411764705E-2</v>
      </c>
    </row>
    <row r="9" spans="1:4" x14ac:dyDescent="0.3">
      <c r="B9" s="13" t="s">
        <v>73</v>
      </c>
      <c r="C9" s="23">
        <f>SUM(C2:C8)</f>
        <v>17</v>
      </c>
      <c r="D9" s="24">
        <f>SUM(D2:D8)</f>
        <v>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Proceso BPMN</vt:lpstr>
      <vt:lpstr>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  Ochoa</cp:lastModifiedBy>
  <cp:revision>1</cp:revision>
  <dcterms:created xsi:type="dcterms:W3CDTF">2026-10-24T04:13:54Z</dcterms:created>
  <dcterms:modified xsi:type="dcterms:W3CDTF">2026-10-24T04:29:13Z</dcterms:modified>
  <dc:language>en-US</dc:language>
</cp:coreProperties>
</file>